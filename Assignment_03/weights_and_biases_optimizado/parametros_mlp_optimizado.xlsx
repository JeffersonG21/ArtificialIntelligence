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0d9ba80e33c81bd/Documentos/IA_Class/ArtificialIntelligence/Assignments/Assignment_03/weights_and_biases_optimizado/"/>
    </mc:Choice>
  </mc:AlternateContent>
  <xr:revisionPtr revIDLastSave="68" documentId="11_BC969F62F2060EB41A0BBD59449E564F2DE76A14" xr6:coauthVersionLast="47" xr6:coauthVersionMax="47" xr10:uidLastSave="{FB6B1FA9-955C-4A04-92E9-4F829C5B59CE}"/>
  <bookViews>
    <workbookView xWindow="-120" yWindow="-120" windowWidth="20730" windowHeight="11040" firstSheet="1" activeTab="1" xr2:uid="{00000000-000D-0000-FFFF-FFFF00000000}"/>
  </bookViews>
  <sheets>
    <sheet name="Referencia_Python" sheetId="8" r:id="rId1"/>
    <sheet name="1_Estandarizacion" sheetId="9" r:id="rId2"/>
    <sheet name="2_Capa1" sheetId="10" r:id="rId3"/>
    <sheet name="3_Salida" sheetId="11" r:id="rId4"/>
    <sheet name="0_Entrada" sheetId="7" r:id="rId5"/>
    <sheet name="Scaler" sheetId="1" r:id="rId6"/>
    <sheet name="Capa1_Pesos" sheetId="2" r:id="rId7"/>
    <sheet name="Capa1_Sesgos" sheetId="3" r:id="rId8"/>
    <sheet name="Capa2_Pesos" sheetId="4" r:id="rId9"/>
    <sheet name="Capa2_Sesgos" sheetId="5" r:id="rId10"/>
    <sheet name="Clases" sheetId="6" r:id="rId11"/>
  </sheets>
  <definedNames>
    <definedName name="DatosExternos_1" localSheetId="4" hidden="1">'0_Entrada'!$A$1:$B$242</definedName>
    <definedName name="DatosExternos_2" localSheetId="0" hidden="1">Referencia_Python!$A$1:$B$11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9" l="1"/>
  <c r="B12" i="10" s="1" a="1"/>
  <c r="B12" i="10" s="1"/>
  <c r="C12" i="10" s="1"/>
  <c r="E4" i="9"/>
  <c r="E5" i="9"/>
  <c r="E6" i="9"/>
  <c r="E7" i="9"/>
  <c r="E8" i="9"/>
  <c r="E9" i="9"/>
  <c r="E10" i="9"/>
  <c r="B9" i="10" s="1" a="1"/>
  <c r="B9" i="10" s="1"/>
  <c r="C9" i="10" s="1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B29" i="10" s="1" a="1"/>
  <c r="B29" i="10" s="1"/>
  <c r="C29" i="10" s="1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B27" i="10" s="1" a="1"/>
  <c r="B27" i="10" s="1"/>
  <c r="C27" i="10" s="1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B33" i="10" s="1" a="1"/>
  <c r="B33" i="10" s="1"/>
  <c r="C33" i="10" s="1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" i="9"/>
  <c r="B15" i="10" s="1" a="1"/>
  <c r="B15" i="10" s="1"/>
  <c r="C15" i="10" s="1"/>
  <c r="F3" i="11" a="1"/>
  <c r="F3" i="11" s="1"/>
  <c r="F4" i="11" a="1"/>
  <c r="F4" i="11" s="1"/>
  <c r="F5" i="11" a="1"/>
  <c r="F5" i="11" s="1"/>
  <c r="F6" i="11" a="1"/>
  <c r="F6" i="11" s="1"/>
  <c r="F7" i="11" a="1"/>
  <c r="F7" i="11" s="1"/>
  <c r="F8" i="11" a="1"/>
  <c r="F8" i="11" s="1"/>
  <c r="F9" i="11" a="1"/>
  <c r="F9" i="11" s="1"/>
  <c r="F10" i="11" a="1"/>
  <c r="F10" i="11" s="1"/>
  <c r="F11" i="11" a="1"/>
  <c r="F11" i="11" s="1"/>
  <c r="F2" i="11" a="1"/>
  <c r="F2" i="11" s="1"/>
  <c r="B3" i="11" a="1"/>
  <c r="B3" i="11"/>
  <c r="B4" i="11" a="1"/>
  <c r="B4" i="11" s="1"/>
  <c r="B5" i="11" a="1"/>
  <c r="B5" i="11" s="1"/>
  <c r="B6" i="11" a="1"/>
  <c r="B6" i="11" s="1"/>
  <c r="B7" i="11" a="1"/>
  <c r="B7" i="11"/>
  <c r="B8" i="11" a="1"/>
  <c r="B8" i="11"/>
  <c r="B9" i="11" a="1"/>
  <c r="B9" i="11"/>
  <c r="B10" i="11" a="1"/>
  <c r="B10" i="11"/>
  <c r="B11" i="11" a="1"/>
  <c r="B11" i="11"/>
  <c r="A4" i="11"/>
  <c r="A5" i="11"/>
  <c r="A6" i="11" s="1"/>
  <c r="A7" i="11" s="1"/>
  <c r="A8" i="11" s="1"/>
  <c r="A9" i="11" s="1"/>
  <c r="A10" i="11" s="1"/>
  <c r="A11" i="11" s="1"/>
  <c r="A3" i="11"/>
  <c r="B2" i="11" a="1"/>
  <c r="B2" i="11" s="1"/>
  <c r="B8" i="10" a="1"/>
  <c r="B8" i="10" s="1"/>
  <c r="C8" i="10" s="1"/>
  <c r="B16" i="10" a="1"/>
  <c r="B16" i="10" s="1"/>
  <c r="C16" i="10" s="1"/>
  <c r="B21" i="10" a="1"/>
  <c r="B21" i="10" s="1"/>
  <c r="C21" i="10" s="1"/>
  <c r="B25" i="10" a="1"/>
  <c r="B25" i="10" s="1"/>
  <c r="C25" i="10" s="1"/>
  <c r="B26" i="10" a="1"/>
  <c r="B26" i="10" s="1"/>
  <c r="C26" i="10" s="1"/>
  <c r="B30" i="10" a="1"/>
  <c r="B30" i="10" s="1"/>
  <c r="C30" i="10" s="1"/>
  <c r="B34" i="10" a="1"/>
  <c r="B34" i="10" s="1"/>
  <c r="C34" i="10" s="1"/>
  <c r="B35" i="10" a="1"/>
  <c r="B35" i="10" s="1"/>
  <c r="C35" i="10" s="1"/>
  <c r="B39" i="10" a="1"/>
  <c r="B39" i="10" s="1"/>
  <c r="C39" i="10" s="1"/>
  <c r="B40" i="10" a="1"/>
  <c r="B40" i="10" s="1"/>
  <c r="C40" i="10" s="1"/>
  <c r="B42" i="10" a="1"/>
  <c r="B42" i="10" s="1"/>
  <c r="C42" i="10" s="1"/>
  <c r="B44" i="10" a="1"/>
  <c r="B44" i="10" s="1"/>
  <c r="C44" i="10" s="1"/>
  <c r="B45" i="10" a="1"/>
  <c r="B45" i="10" s="1"/>
  <c r="C45" i="10" s="1"/>
  <c r="B46" i="10" a="1"/>
  <c r="B46" i="10" s="1"/>
  <c r="C46" i="10" s="1"/>
  <c r="B47" i="10" a="1"/>
  <c r="B47" i="10" s="1"/>
  <c r="C47" i="10" s="1"/>
  <c r="B48" i="10" a="1"/>
  <c r="B48" i="10" s="1"/>
  <c r="C48" i="10" s="1"/>
  <c r="B51" i="10" a="1"/>
  <c r="B51" i="10" s="1"/>
  <c r="C51" i="10" s="1"/>
  <c r="B2" i="10" a="1"/>
  <c r="B2" i="10" s="1"/>
  <c r="C2" i="10" s="1"/>
  <c r="A51" i="10"/>
  <c r="A4" i="10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3" i="10"/>
  <c r="A3" i="9"/>
  <c r="B3" i="9"/>
  <c r="C3" i="9"/>
  <c r="D3" i="9"/>
  <c r="A4" i="9"/>
  <c r="B4" i="9"/>
  <c r="C4" i="9"/>
  <c r="D4" i="9"/>
  <c r="A5" i="9"/>
  <c r="B5" i="9"/>
  <c r="C5" i="9"/>
  <c r="D5" i="9"/>
  <c r="A6" i="9"/>
  <c r="B6" i="9"/>
  <c r="C6" i="9"/>
  <c r="D6" i="9"/>
  <c r="A7" i="9"/>
  <c r="B7" i="9"/>
  <c r="C7" i="9"/>
  <c r="D7" i="9"/>
  <c r="A8" i="9"/>
  <c r="B8" i="9"/>
  <c r="C8" i="9"/>
  <c r="D8" i="9"/>
  <c r="A9" i="9"/>
  <c r="B9" i="9"/>
  <c r="C9" i="9"/>
  <c r="D9" i="9"/>
  <c r="A10" i="9"/>
  <c r="B10" i="9"/>
  <c r="C10" i="9"/>
  <c r="D10" i="9"/>
  <c r="A11" i="9"/>
  <c r="B11" i="9"/>
  <c r="C11" i="9"/>
  <c r="D11" i="9"/>
  <c r="A12" i="9"/>
  <c r="B12" i="9"/>
  <c r="C12" i="9"/>
  <c r="D12" i="9"/>
  <c r="A13" i="9"/>
  <c r="B13" i="9"/>
  <c r="C13" i="9"/>
  <c r="D13" i="9"/>
  <c r="A14" i="9"/>
  <c r="B14" i="9"/>
  <c r="C14" i="9"/>
  <c r="D14" i="9"/>
  <c r="A15" i="9"/>
  <c r="B15" i="9"/>
  <c r="C15" i="9"/>
  <c r="D15" i="9"/>
  <c r="A16" i="9"/>
  <c r="B16" i="9"/>
  <c r="C16" i="9"/>
  <c r="D16" i="9"/>
  <c r="A17" i="9"/>
  <c r="B17" i="9"/>
  <c r="C17" i="9"/>
  <c r="D17" i="9"/>
  <c r="A18" i="9"/>
  <c r="B18" i="9"/>
  <c r="C18" i="9"/>
  <c r="D18" i="9"/>
  <c r="A19" i="9"/>
  <c r="B19" i="9"/>
  <c r="C19" i="9"/>
  <c r="D19" i="9"/>
  <c r="A20" i="9"/>
  <c r="B20" i="9"/>
  <c r="C20" i="9"/>
  <c r="D20" i="9"/>
  <c r="A21" i="9"/>
  <c r="B21" i="9"/>
  <c r="C21" i="9"/>
  <c r="D21" i="9"/>
  <c r="A22" i="9"/>
  <c r="B22" i="9"/>
  <c r="C22" i="9"/>
  <c r="D22" i="9"/>
  <c r="A23" i="9"/>
  <c r="B23" i="9"/>
  <c r="C23" i="9"/>
  <c r="D23" i="9"/>
  <c r="A24" i="9"/>
  <c r="B24" i="9"/>
  <c r="C24" i="9"/>
  <c r="D24" i="9"/>
  <c r="A25" i="9"/>
  <c r="B25" i="9"/>
  <c r="C25" i="9"/>
  <c r="D25" i="9"/>
  <c r="A26" i="9"/>
  <c r="B26" i="9"/>
  <c r="C26" i="9"/>
  <c r="D26" i="9"/>
  <c r="A27" i="9"/>
  <c r="B27" i="9"/>
  <c r="C27" i="9"/>
  <c r="D27" i="9"/>
  <c r="A28" i="9"/>
  <c r="B28" i="9"/>
  <c r="C28" i="9"/>
  <c r="D28" i="9"/>
  <c r="A29" i="9"/>
  <c r="B29" i="9"/>
  <c r="C29" i="9"/>
  <c r="D29" i="9"/>
  <c r="A30" i="9"/>
  <c r="B30" i="9"/>
  <c r="C30" i="9"/>
  <c r="D30" i="9"/>
  <c r="A31" i="9"/>
  <c r="B31" i="9"/>
  <c r="C31" i="9"/>
  <c r="D31" i="9"/>
  <c r="A32" i="9"/>
  <c r="B32" i="9"/>
  <c r="C32" i="9"/>
  <c r="D32" i="9"/>
  <c r="A33" i="9"/>
  <c r="B33" i="9"/>
  <c r="C33" i="9"/>
  <c r="D33" i="9"/>
  <c r="A34" i="9"/>
  <c r="B34" i="9"/>
  <c r="C34" i="9"/>
  <c r="D34" i="9"/>
  <c r="A35" i="9"/>
  <c r="B35" i="9"/>
  <c r="C35" i="9"/>
  <c r="D35" i="9"/>
  <c r="A36" i="9"/>
  <c r="B36" i="9"/>
  <c r="C36" i="9"/>
  <c r="D36" i="9"/>
  <c r="A37" i="9"/>
  <c r="B37" i="9"/>
  <c r="C37" i="9"/>
  <c r="D37" i="9"/>
  <c r="A38" i="9"/>
  <c r="B38" i="9"/>
  <c r="C38" i="9"/>
  <c r="D38" i="9"/>
  <c r="A39" i="9"/>
  <c r="B39" i="9"/>
  <c r="C39" i="9"/>
  <c r="D39" i="9"/>
  <c r="A40" i="9"/>
  <c r="B40" i="9"/>
  <c r="C40" i="9"/>
  <c r="D40" i="9"/>
  <c r="A41" i="9"/>
  <c r="B41" i="9"/>
  <c r="C41" i="9"/>
  <c r="D41" i="9"/>
  <c r="A42" i="9"/>
  <c r="B42" i="9"/>
  <c r="C42" i="9"/>
  <c r="D42" i="9"/>
  <c r="A43" i="9"/>
  <c r="B43" i="9"/>
  <c r="C43" i="9"/>
  <c r="D43" i="9"/>
  <c r="A44" i="9"/>
  <c r="B44" i="9"/>
  <c r="C44" i="9"/>
  <c r="D44" i="9"/>
  <c r="A45" i="9"/>
  <c r="B45" i="9"/>
  <c r="C45" i="9"/>
  <c r="D45" i="9"/>
  <c r="A46" i="9"/>
  <c r="B46" i="9"/>
  <c r="C46" i="9"/>
  <c r="D46" i="9"/>
  <c r="A47" i="9"/>
  <c r="B47" i="9"/>
  <c r="C47" i="9"/>
  <c r="D47" i="9"/>
  <c r="A48" i="9"/>
  <c r="B48" i="9"/>
  <c r="C48" i="9"/>
  <c r="D48" i="9"/>
  <c r="A49" i="9"/>
  <c r="B49" i="9"/>
  <c r="C49" i="9"/>
  <c r="D49" i="9"/>
  <c r="A50" i="9"/>
  <c r="B50" i="9"/>
  <c r="C50" i="9"/>
  <c r="D50" i="9"/>
  <c r="A51" i="9"/>
  <c r="B51" i="9"/>
  <c r="C51" i="9"/>
  <c r="D51" i="9"/>
  <c r="A52" i="9"/>
  <c r="B52" i="9"/>
  <c r="C52" i="9"/>
  <c r="D52" i="9"/>
  <c r="A53" i="9"/>
  <c r="B53" i="9"/>
  <c r="C53" i="9"/>
  <c r="D53" i="9"/>
  <c r="A54" i="9"/>
  <c r="B54" i="9"/>
  <c r="C54" i="9"/>
  <c r="D54" i="9"/>
  <c r="A55" i="9"/>
  <c r="B55" i="9"/>
  <c r="C55" i="9"/>
  <c r="D55" i="9"/>
  <c r="A56" i="9"/>
  <c r="B56" i="9"/>
  <c r="C56" i="9"/>
  <c r="D56" i="9"/>
  <c r="A57" i="9"/>
  <c r="B57" i="9"/>
  <c r="C57" i="9"/>
  <c r="D57" i="9"/>
  <c r="A58" i="9"/>
  <c r="B58" i="9"/>
  <c r="C58" i="9"/>
  <c r="D58" i="9"/>
  <c r="A59" i="9"/>
  <c r="B59" i="9"/>
  <c r="C59" i="9"/>
  <c r="D59" i="9"/>
  <c r="A60" i="9"/>
  <c r="B60" i="9"/>
  <c r="C60" i="9"/>
  <c r="D60" i="9"/>
  <c r="A61" i="9"/>
  <c r="B61" i="9"/>
  <c r="C61" i="9"/>
  <c r="D61" i="9"/>
  <c r="A62" i="9"/>
  <c r="B62" i="9"/>
  <c r="C62" i="9"/>
  <c r="D62" i="9"/>
  <c r="A63" i="9"/>
  <c r="B63" i="9"/>
  <c r="C63" i="9"/>
  <c r="D63" i="9"/>
  <c r="A64" i="9"/>
  <c r="B64" i="9"/>
  <c r="C64" i="9"/>
  <c r="D64" i="9"/>
  <c r="A65" i="9"/>
  <c r="B65" i="9"/>
  <c r="C65" i="9"/>
  <c r="D65" i="9"/>
  <c r="A66" i="9"/>
  <c r="B66" i="9"/>
  <c r="C66" i="9"/>
  <c r="D66" i="9"/>
  <c r="A67" i="9"/>
  <c r="B67" i="9"/>
  <c r="C67" i="9"/>
  <c r="D67" i="9"/>
  <c r="A68" i="9"/>
  <c r="B68" i="9"/>
  <c r="C68" i="9"/>
  <c r="D68" i="9"/>
  <c r="A69" i="9"/>
  <c r="B69" i="9"/>
  <c r="C69" i="9"/>
  <c r="D69" i="9"/>
  <c r="A70" i="9"/>
  <c r="B70" i="9"/>
  <c r="C70" i="9"/>
  <c r="D70" i="9"/>
  <c r="A71" i="9"/>
  <c r="B71" i="9"/>
  <c r="C71" i="9"/>
  <c r="D71" i="9"/>
  <c r="A72" i="9"/>
  <c r="B72" i="9"/>
  <c r="C72" i="9"/>
  <c r="D72" i="9"/>
  <c r="A73" i="9"/>
  <c r="B73" i="9"/>
  <c r="C73" i="9"/>
  <c r="D73" i="9"/>
  <c r="A74" i="9"/>
  <c r="B74" i="9"/>
  <c r="C74" i="9"/>
  <c r="D74" i="9"/>
  <c r="A75" i="9"/>
  <c r="B75" i="9"/>
  <c r="C75" i="9"/>
  <c r="D75" i="9"/>
  <c r="A76" i="9"/>
  <c r="B76" i="9"/>
  <c r="C76" i="9"/>
  <c r="D76" i="9"/>
  <c r="A77" i="9"/>
  <c r="B77" i="9"/>
  <c r="C77" i="9"/>
  <c r="D77" i="9"/>
  <c r="A78" i="9"/>
  <c r="B78" i="9"/>
  <c r="C78" i="9"/>
  <c r="D78" i="9"/>
  <c r="A79" i="9"/>
  <c r="B79" i="9"/>
  <c r="C79" i="9"/>
  <c r="D79" i="9"/>
  <c r="A80" i="9"/>
  <c r="B80" i="9"/>
  <c r="C80" i="9"/>
  <c r="D80" i="9"/>
  <c r="A81" i="9"/>
  <c r="B81" i="9"/>
  <c r="C81" i="9"/>
  <c r="D81" i="9"/>
  <c r="A82" i="9"/>
  <c r="B82" i="9"/>
  <c r="C82" i="9"/>
  <c r="D82" i="9"/>
  <c r="A83" i="9"/>
  <c r="B83" i="9"/>
  <c r="C83" i="9"/>
  <c r="D83" i="9"/>
  <c r="A84" i="9"/>
  <c r="B84" i="9"/>
  <c r="C84" i="9"/>
  <c r="D84" i="9"/>
  <c r="A85" i="9"/>
  <c r="B85" i="9"/>
  <c r="C85" i="9"/>
  <c r="D85" i="9"/>
  <c r="A86" i="9"/>
  <c r="B86" i="9"/>
  <c r="C86" i="9"/>
  <c r="D86" i="9"/>
  <c r="A87" i="9"/>
  <c r="B87" i="9"/>
  <c r="C87" i="9"/>
  <c r="D87" i="9"/>
  <c r="A88" i="9"/>
  <c r="B88" i="9"/>
  <c r="C88" i="9"/>
  <c r="D88" i="9"/>
  <c r="A89" i="9"/>
  <c r="B89" i="9"/>
  <c r="C89" i="9"/>
  <c r="D89" i="9"/>
  <c r="A90" i="9"/>
  <c r="B90" i="9"/>
  <c r="C90" i="9"/>
  <c r="D90" i="9"/>
  <c r="A91" i="9"/>
  <c r="B91" i="9"/>
  <c r="C91" i="9"/>
  <c r="D91" i="9"/>
  <c r="A92" i="9"/>
  <c r="B92" i="9"/>
  <c r="C92" i="9"/>
  <c r="D92" i="9"/>
  <c r="A93" i="9"/>
  <c r="B93" i="9"/>
  <c r="C93" i="9"/>
  <c r="D93" i="9"/>
  <c r="A94" i="9"/>
  <c r="B94" i="9"/>
  <c r="C94" i="9"/>
  <c r="D94" i="9"/>
  <c r="A95" i="9"/>
  <c r="B95" i="9"/>
  <c r="C95" i="9"/>
  <c r="D95" i="9"/>
  <c r="A96" i="9"/>
  <c r="B96" i="9"/>
  <c r="C96" i="9"/>
  <c r="D96" i="9"/>
  <c r="A97" i="9"/>
  <c r="B97" i="9"/>
  <c r="C97" i="9"/>
  <c r="D97" i="9"/>
  <c r="A98" i="9"/>
  <c r="B98" i="9"/>
  <c r="C98" i="9"/>
  <c r="D98" i="9"/>
  <c r="A99" i="9"/>
  <c r="B99" i="9"/>
  <c r="C99" i="9"/>
  <c r="D99" i="9"/>
  <c r="A100" i="9"/>
  <c r="B100" i="9"/>
  <c r="C100" i="9"/>
  <c r="D100" i="9"/>
  <c r="A101" i="9"/>
  <c r="B101" i="9"/>
  <c r="C101" i="9"/>
  <c r="D101" i="9"/>
  <c r="A102" i="9"/>
  <c r="B102" i="9"/>
  <c r="C102" i="9"/>
  <c r="D102" i="9"/>
  <c r="A103" i="9"/>
  <c r="B103" i="9"/>
  <c r="C103" i="9"/>
  <c r="D103" i="9"/>
  <c r="A104" i="9"/>
  <c r="B104" i="9"/>
  <c r="C104" i="9"/>
  <c r="D104" i="9"/>
  <c r="A105" i="9"/>
  <c r="B105" i="9"/>
  <c r="C105" i="9"/>
  <c r="D105" i="9"/>
  <c r="A106" i="9"/>
  <c r="B106" i="9"/>
  <c r="C106" i="9"/>
  <c r="D106" i="9"/>
  <c r="A107" i="9"/>
  <c r="B107" i="9"/>
  <c r="C107" i="9"/>
  <c r="D107" i="9"/>
  <c r="A108" i="9"/>
  <c r="B108" i="9"/>
  <c r="C108" i="9"/>
  <c r="D108" i="9"/>
  <c r="A109" i="9"/>
  <c r="B109" i="9"/>
  <c r="C109" i="9"/>
  <c r="D109" i="9"/>
  <c r="A110" i="9"/>
  <c r="B110" i="9"/>
  <c r="C110" i="9"/>
  <c r="D110" i="9"/>
  <c r="A111" i="9"/>
  <c r="B111" i="9"/>
  <c r="C111" i="9"/>
  <c r="D111" i="9"/>
  <c r="A112" i="9"/>
  <c r="B112" i="9"/>
  <c r="C112" i="9"/>
  <c r="D112" i="9"/>
  <c r="A113" i="9"/>
  <c r="B113" i="9"/>
  <c r="C113" i="9"/>
  <c r="D113" i="9"/>
  <c r="A114" i="9"/>
  <c r="B114" i="9"/>
  <c r="C114" i="9"/>
  <c r="D114" i="9"/>
  <c r="A115" i="9"/>
  <c r="B115" i="9"/>
  <c r="C115" i="9"/>
  <c r="D115" i="9"/>
  <c r="A116" i="9"/>
  <c r="B116" i="9"/>
  <c r="C116" i="9"/>
  <c r="D116" i="9"/>
  <c r="A117" i="9"/>
  <c r="B117" i="9"/>
  <c r="C117" i="9"/>
  <c r="D117" i="9"/>
  <c r="A118" i="9"/>
  <c r="B118" i="9"/>
  <c r="C118" i="9"/>
  <c r="D118" i="9"/>
  <c r="A119" i="9"/>
  <c r="B119" i="9"/>
  <c r="C119" i="9"/>
  <c r="D119" i="9"/>
  <c r="A120" i="9"/>
  <c r="B120" i="9"/>
  <c r="C120" i="9"/>
  <c r="D120" i="9"/>
  <c r="A121" i="9"/>
  <c r="B121" i="9"/>
  <c r="C121" i="9"/>
  <c r="D121" i="9"/>
  <c r="A122" i="9"/>
  <c r="B122" i="9"/>
  <c r="C122" i="9"/>
  <c r="D122" i="9"/>
  <c r="A123" i="9"/>
  <c r="B123" i="9"/>
  <c r="C123" i="9"/>
  <c r="D123" i="9"/>
  <c r="A124" i="9"/>
  <c r="B124" i="9"/>
  <c r="C124" i="9"/>
  <c r="D124" i="9"/>
  <c r="A125" i="9"/>
  <c r="B125" i="9"/>
  <c r="C125" i="9"/>
  <c r="D125" i="9"/>
  <c r="A126" i="9"/>
  <c r="B126" i="9"/>
  <c r="C126" i="9"/>
  <c r="D126" i="9"/>
  <c r="A127" i="9"/>
  <c r="B127" i="9"/>
  <c r="C127" i="9"/>
  <c r="D127" i="9"/>
  <c r="A128" i="9"/>
  <c r="B128" i="9"/>
  <c r="C128" i="9"/>
  <c r="D128" i="9"/>
  <c r="A129" i="9"/>
  <c r="B129" i="9"/>
  <c r="C129" i="9"/>
  <c r="D129" i="9"/>
  <c r="A130" i="9"/>
  <c r="B130" i="9"/>
  <c r="C130" i="9"/>
  <c r="D130" i="9"/>
  <c r="A131" i="9"/>
  <c r="B131" i="9"/>
  <c r="C131" i="9"/>
  <c r="D131" i="9"/>
  <c r="A132" i="9"/>
  <c r="B132" i="9"/>
  <c r="C132" i="9"/>
  <c r="D132" i="9"/>
  <c r="A133" i="9"/>
  <c r="B133" i="9"/>
  <c r="C133" i="9"/>
  <c r="D133" i="9"/>
  <c r="A134" i="9"/>
  <c r="B134" i="9"/>
  <c r="C134" i="9"/>
  <c r="D134" i="9"/>
  <c r="A135" i="9"/>
  <c r="B135" i="9"/>
  <c r="C135" i="9"/>
  <c r="D135" i="9"/>
  <c r="A136" i="9"/>
  <c r="B136" i="9"/>
  <c r="C136" i="9"/>
  <c r="D136" i="9"/>
  <c r="A137" i="9"/>
  <c r="B137" i="9"/>
  <c r="C137" i="9"/>
  <c r="D137" i="9"/>
  <c r="A138" i="9"/>
  <c r="B138" i="9"/>
  <c r="C138" i="9"/>
  <c r="D138" i="9"/>
  <c r="A139" i="9"/>
  <c r="B139" i="9"/>
  <c r="C139" i="9"/>
  <c r="D139" i="9"/>
  <c r="A140" i="9"/>
  <c r="B140" i="9"/>
  <c r="C140" i="9"/>
  <c r="D140" i="9"/>
  <c r="A141" i="9"/>
  <c r="B141" i="9"/>
  <c r="C141" i="9"/>
  <c r="D141" i="9"/>
  <c r="A142" i="9"/>
  <c r="B142" i="9"/>
  <c r="C142" i="9"/>
  <c r="D142" i="9"/>
  <c r="A143" i="9"/>
  <c r="B143" i="9"/>
  <c r="C143" i="9"/>
  <c r="D143" i="9"/>
  <c r="A144" i="9"/>
  <c r="B144" i="9"/>
  <c r="C144" i="9"/>
  <c r="D144" i="9"/>
  <c r="A145" i="9"/>
  <c r="B145" i="9"/>
  <c r="C145" i="9"/>
  <c r="D145" i="9"/>
  <c r="A146" i="9"/>
  <c r="B146" i="9"/>
  <c r="C146" i="9"/>
  <c r="D146" i="9"/>
  <c r="A147" i="9"/>
  <c r="B147" i="9"/>
  <c r="C147" i="9"/>
  <c r="D147" i="9"/>
  <c r="A148" i="9"/>
  <c r="B148" i="9"/>
  <c r="C148" i="9"/>
  <c r="D148" i="9"/>
  <c r="A149" i="9"/>
  <c r="B149" i="9"/>
  <c r="C149" i="9"/>
  <c r="D149" i="9"/>
  <c r="A150" i="9"/>
  <c r="B150" i="9"/>
  <c r="C150" i="9"/>
  <c r="D150" i="9"/>
  <c r="A151" i="9"/>
  <c r="B151" i="9"/>
  <c r="C151" i="9"/>
  <c r="D151" i="9"/>
  <c r="A152" i="9"/>
  <c r="B152" i="9"/>
  <c r="C152" i="9"/>
  <c r="D152" i="9"/>
  <c r="A153" i="9"/>
  <c r="B153" i="9"/>
  <c r="C153" i="9"/>
  <c r="D153" i="9"/>
  <c r="A154" i="9"/>
  <c r="B154" i="9"/>
  <c r="C154" i="9"/>
  <c r="D154" i="9"/>
  <c r="A155" i="9"/>
  <c r="B155" i="9"/>
  <c r="C155" i="9"/>
  <c r="D155" i="9"/>
  <c r="A156" i="9"/>
  <c r="B156" i="9"/>
  <c r="C156" i="9"/>
  <c r="D156" i="9"/>
  <c r="A157" i="9"/>
  <c r="B157" i="9"/>
  <c r="C157" i="9"/>
  <c r="D157" i="9"/>
  <c r="A158" i="9"/>
  <c r="B158" i="9"/>
  <c r="C158" i="9"/>
  <c r="D158" i="9"/>
  <c r="A159" i="9"/>
  <c r="B159" i="9"/>
  <c r="C159" i="9"/>
  <c r="D159" i="9"/>
  <c r="A160" i="9"/>
  <c r="B160" i="9"/>
  <c r="C160" i="9"/>
  <c r="D160" i="9"/>
  <c r="A161" i="9"/>
  <c r="B161" i="9"/>
  <c r="C161" i="9"/>
  <c r="D161" i="9"/>
  <c r="A162" i="9"/>
  <c r="B162" i="9"/>
  <c r="C162" i="9"/>
  <c r="D162" i="9"/>
  <c r="A163" i="9"/>
  <c r="B163" i="9"/>
  <c r="C163" i="9"/>
  <c r="D163" i="9"/>
  <c r="A164" i="9"/>
  <c r="B164" i="9"/>
  <c r="C164" i="9"/>
  <c r="D164" i="9"/>
  <c r="A165" i="9"/>
  <c r="B165" i="9"/>
  <c r="C165" i="9"/>
  <c r="D165" i="9"/>
  <c r="A166" i="9"/>
  <c r="B166" i="9"/>
  <c r="C166" i="9"/>
  <c r="D166" i="9"/>
  <c r="A167" i="9"/>
  <c r="B167" i="9"/>
  <c r="C167" i="9"/>
  <c r="D167" i="9"/>
  <c r="A168" i="9"/>
  <c r="B168" i="9"/>
  <c r="C168" i="9"/>
  <c r="D168" i="9"/>
  <c r="A169" i="9"/>
  <c r="B169" i="9"/>
  <c r="C169" i="9"/>
  <c r="D169" i="9"/>
  <c r="A170" i="9"/>
  <c r="B170" i="9"/>
  <c r="C170" i="9"/>
  <c r="D170" i="9"/>
  <c r="A171" i="9"/>
  <c r="B171" i="9"/>
  <c r="C171" i="9"/>
  <c r="D171" i="9"/>
  <c r="A172" i="9"/>
  <c r="B172" i="9"/>
  <c r="C172" i="9"/>
  <c r="D172" i="9"/>
  <c r="A173" i="9"/>
  <c r="B173" i="9"/>
  <c r="C173" i="9"/>
  <c r="D173" i="9"/>
  <c r="A174" i="9"/>
  <c r="B174" i="9"/>
  <c r="C174" i="9"/>
  <c r="D174" i="9"/>
  <c r="A175" i="9"/>
  <c r="B175" i="9"/>
  <c r="C175" i="9"/>
  <c r="D175" i="9"/>
  <c r="A176" i="9"/>
  <c r="B176" i="9"/>
  <c r="C176" i="9"/>
  <c r="D176" i="9"/>
  <c r="A177" i="9"/>
  <c r="B177" i="9"/>
  <c r="C177" i="9"/>
  <c r="D177" i="9"/>
  <c r="A178" i="9"/>
  <c r="B178" i="9"/>
  <c r="C178" i="9"/>
  <c r="D178" i="9"/>
  <c r="A179" i="9"/>
  <c r="B179" i="9"/>
  <c r="C179" i="9"/>
  <c r="D179" i="9"/>
  <c r="A180" i="9"/>
  <c r="B180" i="9"/>
  <c r="C180" i="9"/>
  <c r="D180" i="9"/>
  <c r="A181" i="9"/>
  <c r="B181" i="9"/>
  <c r="C181" i="9"/>
  <c r="D181" i="9"/>
  <c r="A182" i="9"/>
  <c r="B182" i="9"/>
  <c r="C182" i="9"/>
  <c r="D182" i="9"/>
  <c r="A183" i="9"/>
  <c r="B183" i="9"/>
  <c r="C183" i="9"/>
  <c r="D183" i="9"/>
  <c r="A184" i="9"/>
  <c r="B184" i="9"/>
  <c r="C184" i="9"/>
  <c r="D184" i="9"/>
  <c r="A185" i="9"/>
  <c r="B185" i="9"/>
  <c r="C185" i="9"/>
  <c r="D185" i="9"/>
  <c r="A186" i="9"/>
  <c r="B186" i="9"/>
  <c r="C186" i="9"/>
  <c r="D186" i="9"/>
  <c r="A187" i="9"/>
  <c r="B187" i="9"/>
  <c r="C187" i="9"/>
  <c r="D187" i="9"/>
  <c r="A188" i="9"/>
  <c r="B188" i="9"/>
  <c r="C188" i="9"/>
  <c r="D188" i="9"/>
  <c r="A189" i="9"/>
  <c r="B189" i="9"/>
  <c r="C189" i="9"/>
  <c r="D189" i="9"/>
  <c r="A190" i="9"/>
  <c r="B190" i="9"/>
  <c r="C190" i="9"/>
  <c r="D190" i="9"/>
  <c r="A191" i="9"/>
  <c r="B191" i="9"/>
  <c r="C191" i="9"/>
  <c r="D191" i="9"/>
  <c r="A192" i="9"/>
  <c r="B192" i="9"/>
  <c r="C192" i="9"/>
  <c r="D192" i="9"/>
  <c r="A193" i="9"/>
  <c r="B193" i="9"/>
  <c r="C193" i="9"/>
  <c r="D193" i="9"/>
  <c r="A194" i="9"/>
  <c r="B194" i="9"/>
  <c r="C194" i="9"/>
  <c r="D194" i="9"/>
  <c r="A195" i="9"/>
  <c r="B195" i="9"/>
  <c r="C195" i="9"/>
  <c r="D195" i="9"/>
  <c r="A196" i="9"/>
  <c r="B196" i="9"/>
  <c r="C196" i="9"/>
  <c r="D196" i="9"/>
  <c r="A197" i="9"/>
  <c r="B197" i="9"/>
  <c r="C197" i="9"/>
  <c r="D197" i="9"/>
  <c r="A198" i="9"/>
  <c r="B198" i="9"/>
  <c r="C198" i="9"/>
  <c r="D198" i="9"/>
  <c r="A199" i="9"/>
  <c r="B199" i="9"/>
  <c r="C199" i="9"/>
  <c r="D199" i="9"/>
  <c r="A200" i="9"/>
  <c r="B200" i="9"/>
  <c r="C200" i="9"/>
  <c r="D200" i="9"/>
  <c r="A201" i="9"/>
  <c r="B201" i="9"/>
  <c r="C201" i="9"/>
  <c r="D201" i="9"/>
  <c r="A202" i="9"/>
  <c r="B202" i="9"/>
  <c r="C202" i="9"/>
  <c r="D202" i="9"/>
  <c r="A203" i="9"/>
  <c r="B203" i="9"/>
  <c r="C203" i="9"/>
  <c r="D203" i="9"/>
  <c r="A204" i="9"/>
  <c r="B204" i="9"/>
  <c r="C204" i="9"/>
  <c r="D204" i="9"/>
  <c r="A205" i="9"/>
  <c r="B205" i="9"/>
  <c r="C205" i="9"/>
  <c r="D205" i="9"/>
  <c r="A206" i="9"/>
  <c r="B206" i="9"/>
  <c r="C206" i="9"/>
  <c r="D206" i="9"/>
  <c r="A207" i="9"/>
  <c r="B207" i="9"/>
  <c r="C207" i="9"/>
  <c r="D207" i="9"/>
  <c r="A208" i="9"/>
  <c r="B208" i="9"/>
  <c r="C208" i="9"/>
  <c r="D208" i="9"/>
  <c r="A209" i="9"/>
  <c r="B209" i="9"/>
  <c r="C209" i="9"/>
  <c r="D209" i="9"/>
  <c r="A210" i="9"/>
  <c r="B210" i="9"/>
  <c r="C210" i="9"/>
  <c r="D210" i="9"/>
  <c r="A211" i="9"/>
  <c r="B211" i="9"/>
  <c r="C211" i="9"/>
  <c r="D211" i="9"/>
  <c r="A212" i="9"/>
  <c r="B212" i="9"/>
  <c r="C212" i="9"/>
  <c r="D212" i="9"/>
  <c r="A213" i="9"/>
  <c r="B213" i="9"/>
  <c r="C213" i="9"/>
  <c r="D213" i="9"/>
  <c r="A214" i="9"/>
  <c r="B214" i="9"/>
  <c r="C214" i="9"/>
  <c r="D214" i="9"/>
  <c r="A215" i="9"/>
  <c r="B215" i="9"/>
  <c r="C215" i="9"/>
  <c r="D215" i="9"/>
  <c r="A216" i="9"/>
  <c r="B216" i="9"/>
  <c r="C216" i="9"/>
  <c r="D216" i="9"/>
  <c r="A217" i="9"/>
  <c r="B217" i="9"/>
  <c r="C217" i="9"/>
  <c r="D217" i="9"/>
  <c r="A218" i="9"/>
  <c r="B218" i="9"/>
  <c r="C218" i="9"/>
  <c r="D218" i="9"/>
  <c r="A219" i="9"/>
  <c r="B219" i="9"/>
  <c r="C219" i="9"/>
  <c r="D219" i="9"/>
  <c r="A220" i="9"/>
  <c r="B220" i="9"/>
  <c r="C220" i="9"/>
  <c r="D220" i="9"/>
  <c r="A221" i="9"/>
  <c r="B221" i="9"/>
  <c r="C221" i="9"/>
  <c r="D221" i="9"/>
  <c r="A222" i="9"/>
  <c r="B222" i="9"/>
  <c r="C222" i="9"/>
  <c r="D222" i="9"/>
  <c r="A223" i="9"/>
  <c r="B223" i="9"/>
  <c r="C223" i="9"/>
  <c r="D223" i="9"/>
  <c r="A224" i="9"/>
  <c r="B224" i="9"/>
  <c r="C224" i="9"/>
  <c r="D224" i="9"/>
  <c r="A225" i="9"/>
  <c r="B225" i="9"/>
  <c r="C225" i="9"/>
  <c r="D225" i="9"/>
  <c r="A226" i="9"/>
  <c r="B226" i="9"/>
  <c r="C226" i="9"/>
  <c r="D226" i="9"/>
  <c r="A227" i="9"/>
  <c r="B227" i="9"/>
  <c r="C227" i="9"/>
  <c r="D227" i="9"/>
  <c r="A228" i="9"/>
  <c r="B228" i="9"/>
  <c r="C228" i="9"/>
  <c r="D228" i="9"/>
  <c r="A229" i="9"/>
  <c r="B229" i="9"/>
  <c r="C229" i="9"/>
  <c r="D229" i="9"/>
  <c r="A230" i="9"/>
  <c r="B230" i="9"/>
  <c r="C230" i="9"/>
  <c r="D230" i="9"/>
  <c r="A231" i="9"/>
  <c r="B231" i="9"/>
  <c r="C231" i="9"/>
  <c r="D231" i="9"/>
  <c r="A232" i="9"/>
  <c r="B232" i="9"/>
  <c r="C232" i="9"/>
  <c r="D232" i="9"/>
  <c r="A233" i="9"/>
  <c r="B233" i="9"/>
  <c r="C233" i="9"/>
  <c r="D233" i="9"/>
  <c r="A234" i="9"/>
  <c r="B234" i="9"/>
  <c r="C234" i="9"/>
  <c r="D234" i="9"/>
  <c r="A235" i="9"/>
  <c r="B235" i="9"/>
  <c r="C235" i="9"/>
  <c r="D235" i="9"/>
  <c r="A236" i="9"/>
  <c r="B236" i="9"/>
  <c r="C236" i="9"/>
  <c r="D236" i="9"/>
  <c r="A237" i="9"/>
  <c r="B237" i="9"/>
  <c r="C237" i="9"/>
  <c r="D237" i="9"/>
  <c r="A238" i="9"/>
  <c r="B238" i="9"/>
  <c r="C238" i="9"/>
  <c r="D238" i="9"/>
  <c r="A239" i="9"/>
  <c r="B239" i="9"/>
  <c r="C239" i="9"/>
  <c r="D239" i="9"/>
  <c r="A240" i="9"/>
  <c r="B240" i="9"/>
  <c r="C240" i="9"/>
  <c r="D240" i="9"/>
  <c r="A241" i="9"/>
  <c r="B241" i="9"/>
  <c r="C241" i="9"/>
  <c r="D241" i="9"/>
  <c r="D2" i="9"/>
  <c r="C2" i="9"/>
  <c r="B2" i="9"/>
  <c r="A2" i="9"/>
  <c r="B50" i="10" l="1" a="1"/>
  <c r="B50" i="10" s="1"/>
  <c r="C50" i="10" s="1"/>
  <c r="B43" i="10" a="1"/>
  <c r="B43" i="10" s="1"/>
  <c r="C43" i="10" s="1"/>
  <c r="B38" i="10" a="1"/>
  <c r="B38" i="10" s="1"/>
  <c r="C38" i="10" s="1"/>
  <c r="B24" i="10" a="1"/>
  <c r="B24" i="10" s="1"/>
  <c r="C24" i="10" s="1"/>
  <c r="B7" i="10" a="1"/>
  <c r="B7" i="10" s="1"/>
  <c r="C7" i="10" s="1"/>
  <c r="B5" i="10" a="1"/>
  <c r="B5" i="10" s="1"/>
  <c r="C5" i="10" s="1"/>
  <c r="B14" i="10" a="1"/>
  <c r="B14" i="10" s="1"/>
  <c r="C14" i="10" s="1"/>
  <c r="B49" i="10" a="1"/>
  <c r="B49" i="10" s="1"/>
  <c r="C49" i="10" s="1"/>
  <c r="B32" i="10" a="1"/>
  <c r="B32" i="10" s="1"/>
  <c r="C32" i="10" s="1"/>
  <c r="B19" i="10" a="1"/>
  <c r="B19" i="10" s="1"/>
  <c r="C19" i="10" s="1"/>
  <c r="B13" i="10" a="1"/>
  <c r="B13" i="10" s="1"/>
  <c r="C13" i="10" s="1"/>
  <c r="B23" i="10" a="1"/>
  <c r="B23" i="10" s="1"/>
  <c r="C23" i="10" s="1"/>
  <c r="B41" i="10" a="1"/>
  <c r="B41" i="10" s="1"/>
  <c r="C41" i="10" s="1"/>
  <c r="B37" i="10" a="1"/>
  <c r="B37" i="10" s="1"/>
  <c r="C37" i="10" s="1"/>
  <c r="B31" i="10" a="1"/>
  <c r="B31" i="10" s="1"/>
  <c r="C31" i="10" s="1"/>
  <c r="B18" i="10" a="1"/>
  <c r="B18" i="10" s="1"/>
  <c r="C18" i="10" s="1"/>
  <c r="B22" i="10" a="1"/>
  <c r="B22" i="10" s="1"/>
  <c r="C22" i="10" s="1"/>
  <c r="B11" i="10" a="1"/>
  <c r="B11" i="10" s="1"/>
  <c r="C11" i="10" s="1"/>
  <c r="B17" i="10" a="1"/>
  <c r="B17" i="10" s="1"/>
  <c r="C17" i="10" s="1"/>
  <c r="B10" i="10" a="1"/>
  <c r="B10" i="10" s="1"/>
  <c r="C10" i="10" s="1"/>
  <c r="B4" i="10" a="1"/>
  <c r="B4" i="10" s="1"/>
  <c r="C4" i="10" s="1"/>
  <c r="C2" i="11" s="1" a="1"/>
  <c r="C2" i="11" s="1"/>
  <c r="D2" i="11" s="1"/>
  <c r="B3" i="10" a="1"/>
  <c r="B3" i="10" s="1"/>
  <c r="C3" i="10" s="1"/>
  <c r="C10" i="11" s="1" a="1"/>
  <c r="C10" i="11" s="1"/>
  <c r="D10" i="11" s="1"/>
  <c r="B36" i="10" a="1"/>
  <c r="B36" i="10" s="1"/>
  <c r="C36" i="10" s="1"/>
  <c r="B28" i="10" a="1"/>
  <c r="B28" i="10" s="1"/>
  <c r="C28" i="10" s="1"/>
  <c r="B20" i="10" a="1"/>
  <c r="B20" i="10" s="1"/>
  <c r="C20" i="10" s="1"/>
  <c r="B6" i="10" a="1"/>
  <c r="B6" i="10" s="1"/>
  <c r="C6" i="10" s="1"/>
  <c r="C3" i="11" l="1" a="1"/>
  <c r="C3" i="11" s="1"/>
  <c r="D3" i="11" s="1"/>
  <c r="C8" i="11" a="1"/>
  <c r="C8" i="11" s="1"/>
  <c r="D8" i="11" s="1"/>
  <c r="C5" i="11" a="1"/>
  <c r="C5" i="11" s="1"/>
  <c r="D5" i="11" s="1"/>
  <c r="C7" i="11" a="1"/>
  <c r="C7" i="11" s="1"/>
  <c r="D7" i="11" s="1"/>
  <c r="C11" i="11" a="1"/>
  <c r="C11" i="11" s="1"/>
  <c r="D11" i="11" s="1"/>
  <c r="C9" i="11" a="1"/>
  <c r="C9" i="11" s="1"/>
  <c r="D9" i="11" s="1"/>
  <c r="C6" i="11" a="1"/>
  <c r="C6" i="11" s="1"/>
  <c r="D6" i="11" s="1"/>
  <c r="C4" i="11" a="1"/>
  <c r="C4" i="11" s="1"/>
  <c r="D4" i="11" s="1"/>
  <c r="D13" i="11" l="1"/>
  <c r="E4" i="11" s="1"/>
  <c r="G4" i="11" s="1"/>
  <c r="E8" i="11" l="1"/>
  <c r="G8" i="11" s="1"/>
  <c r="E7" i="11"/>
  <c r="G7" i="11" s="1"/>
  <c r="E11" i="11"/>
  <c r="G11" i="11" s="1"/>
  <c r="E3" i="11"/>
  <c r="G3" i="11" s="1"/>
  <c r="E6" i="11"/>
  <c r="G6" i="11" s="1"/>
  <c r="E5" i="11"/>
  <c r="G5" i="11" s="1"/>
  <c r="E2" i="11"/>
  <c r="E10" i="11"/>
  <c r="G10" i="11" s="1"/>
  <c r="E9" i="11"/>
  <c r="G9" i="11" s="1"/>
  <c r="E12" i="11" l="1"/>
  <c r="F13" i="11"/>
  <c r="G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6E48F0-CBDF-46A1-8D4B-706EAC8E9750}" keepAlive="1" name="Consulta - observacion_prueba_cruda" description="Conexión a la consulta 'observacion_prueba_cruda' en el libro." type="5" refreshedVersion="8" background="1" saveData="1">
    <dbPr connection="Provider=Microsoft.Mashup.OleDb.1;Data Source=$Workbook$;Location=observacion_prueba_cruda;Extended Properties=&quot;&quot;" command="SELECT * FROM [observacion_prueba_cruda]"/>
  </connection>
  <connection id="2" xr16:uid="{070A26BB-A183-4D24-86B8-A89014797F70}" keepAlive="1" name="Consulta - probabilidades_python_referencia" description="Conexión a la consulta 'probabilidades_python_referencia' en el libro." type="5" refreshedVersion="8" background="1" saveData="1">
    <dbPr connection="Provider=Microsoft.Mashup.OleDb.1;Data Source=$Workbook$;Location=probabilidades_python_referencia;Extended Properties=&quot;&quot;" command="SELECT * FROM [probabilidades_python_referenci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<sst xmlns="http://schemas.openxmlformats.org/spreadsheetml/2006/main" count="527" uniqueCount="271">
  <si>
    <t>feature</t>
  </si>
  <si>
    <t>mean</t>
  </si>
  <si>
    <t>scale</t>
  </si>
  <si>
    <t>MES_ABRIL</t>
  </si>
  <si>
    <t>MES_AGOSTO</t>
  </si>
  <si>
    <t>MES_DICIEMBRE</t>
  </si>
  <si>
    <t>MES_ENERO</t>
  </si>
  <si>
    <t>MES_FEBRERO</t>
  </si>
  <si>
    <t>MES_JULIO</t>
  </si>
  <si>
    <t>MES_JUNIO</t>
  </si>
  <si>
    <t>MES_MARZO</t>
  </si>
  <si>
    <t>MES_MAYO</t>
  </si>
  <si>
    <t>MES_NOVIEMBRE</t>
  </si>
  <si>
    <t>MES_OCTUBRE</t>
  </si>
  <si>
    <t>MES_SEPTIEMBRE</t>
  </si>
  <si>
    <t>DIA_DOMINGO</t>
  </si>
  <si>
    <t>DIA_JUEVES</t>
  </si>
  <si>
    <t>DIA_LUNES</t>
  </si>
  <si>
    <t>DIA_MARTES</t>
  </si>
  <si>
    <t>DIA_MIÉRCOLES</t>
  </si>
  <si>
    <t>DIA_SÁBADO</t>
  </si>
  <si>
    <t>DIA_VIERNES</t>
  </si>
  <si>
    <t>HORA_00:00 A 00:59</t>
  </si>
  <si>
    <t>HORA_01:00 A 01:59</t>
  </si>
  <si>
    <t>HORA_02:00 A 02:59</t>
  </si>
  <si>
    <t>HORA_03:00 A 03:59</t>
  </si>
  <si>
    <t>HORA_04:00 A 04:59</t>
  </si>
  <si>
    <t>HORA_05:00 A 05:59</t>
  </si>
  <si>
    <t>HORA_06:00 A 06:59</t>
  </si>
  <si>
    <t>HORA_07:00 A 07:59</t>
  </si>
  <si>
    <t>HORA_08:00 A 08:59</t>
  </si>
  <si>
    <t>HORA_09:00 A 09:59</t>
  </si>
  <si>
    <t>HORA_10:00 A 10:59</t>
  </si>
  <si>
    <t>HORA_11:00 A 11:59</t>
  </si>
  <si>
    <t>HORA_12:00 A 12:59</t>
  </si>
  <si>
    <t>HORA_13:00 A 13:59</t>
  </si>
  <si>
    <t>HORA_14:00 A 14:59</t>
  </si>
  <si>
    <t>HORA_15:00 A 15:59</t>
  </si>
  <si>
    <t>HORA_16:00 A 16:59</t>
  </si>
  <si>
    <t>HORA_17:00 A 17:59</t>
  </si>
  <si>
    <t>HORA_18:00 A 18:59</t>
  </si>
  <si>
    <t>HORA_19:00 A 19:59</t>
  </si>
  <si>
    <t>HORA_20:00 A 20:59</t>
  </si>
  <si>
    <t>HORA_21:00 A 21:59</t>
  </si>
  <si>
    <t>HORA_22:00 A 22:59</t>
  </si>
  <si>
    <t>HORA_23:00 A 23:59</t>
  </si>
  <si>
    <t>PROVINCIA_AZUAY</t>
  </si>
  <si>
    <t>PROVINCIA_BOLÍVAR</t>
  </si>
  <si>
    <t>PROVINCIA_CARCHI</t>
  </si>
  <si>
    <t>PROVINCIA_CAÑAR</t>
  </si>
  <si>
    <t>PROVINCIA_CHIMBORAZO</t>
  </si>
  <si>
    <t>PROVINCIA_COTOPAXI</t>
  </si>
  <si>
    <t>PROVINCIA_EL ORO</t>
  </si>
  <si>
    <t>PROVINCIA_ESMERALDAS</t>
  </si>
  <si>
    <t>PROVINCIA_GALÁPAGOS</t>
  </si>
  <si>
    <t>PROVINCIA_GUAYAS</t>
  </si>
  <si>
    <t>PROVINCIA_IMBABURA</t>
  </si>
  <si>
    <t>PROVINCIA_LOJA</t>
  </si>
  <si>
    <t>PROVINCIA_LOS RÍOS</t>
  </si>
  <si>
    <t>PROVINCIA_MANABÍ</t>
  </si>
  <si>
    <t>PROVINCIA_MORONA SANTIAGO</t>
  </si>
  <si>
    <t>PROVINCIA_NAPO</t>
  </si>
  <si>
    <t>PROVINCIA_ORELLANA</t>
  </si>
  <si>
    <t>PROVINCIA_PASTAZA</t>
  </si>
  <si>
    <t>PROVINCIA_PICHINCHA</t>
  </si>
  <si>
    <t>PROVINCIA_SANTA ELENA</t>
  </si>
  <si>
    <t>PROVINCIA_SANTO DOMINGO DE LOS TSÁCHILAS</t>
  </si>
  <si>
    <t>PROVINCIA_SUCUMBÍOS</t>
  </si>
  <si>
    <t>PROVINCIA_TUNGURAHUA</t>
  </si>
  <si>
    <t>PROVINCIA_ZAMORA CHINCHIPE</t>
  </si>
  <si>
    <t>CANTON_24 DE MAYO</t>
  </si>
  <si>
    <t>CANTON_ALAUSI</t>
  </si>
  <si>
    <t>CANTON_ALFREDO BAQUERIZO MORENO</t>
  </si>
  <si>
    <t>CANTON_AMBATO</t>
  </si>
  <si>
    <t>CANTON_ANTONIO ANTE</t>
  </si>
  <si>
    <t>CANTON_ARAJUNO</t>
  </si>
  <si>
    <t>CANTON_ARENILLAS</t>
  </si>
  <si>
    <t>CANTON_ATACAMES</t>
  </si>
  <si>
    <t>CANTON_ATAHUALPA</t>
  </si>
  <si>
    <t>CANTON_AZOGUES</t>
  </si>
  <si>
    <t>CANTON_BABA</t>
  </si>
  <si>
    <t>CANTON_BABAHOYO</t>
  </si>
  <si>
    <t>CANTON_BALAO</t>
  </si>
  <si>
    <t>CANTON_BALSAS</t>
  </si>
  <si>
    <t>CANTON_BALZAR</t>
  </si>
  <si>
    <t>CANTON_BAÑOS DE AGUA SANTA</t>
  </si>
  <si>
    <t>CANTON_BOLIVAR</t>
  </si>
  <si>
    <t>CANTON_BUENA FE</t>
  </si>
  <si>
    <t>CANTON_CALUMA</t>
  </si>
  <si>
    <t>CANTON_CALVAS</t>
  </si>
  <si>
    <t>CANTON_CAMILO PONCE ENRIQUEZ</t>
  </si>
  <si>
    <t>CANTON_CATAMAYO</t>
  </si>
  <si>
    <t>CANTON_CAYAMBE</t>
  </si>
  <si>
    <t>CANTON_CAÑAR</t>
  </si>
  <si>
    <t>CANTON_CHILLANES</t>
  </si>
  <si>
    <t>CANTON_CHINCHIPE</t>
  </si>
  <si>
    <t>CANTON_CHONE</t>
  </si>
  <si>
    <t>CANTON_CHORDELEG</t>
  </si>
  <si>
    <t>CANTON_COLIMES</t>
  </si>
  <si>
    <t>CANTON_COLTA</t>
  </si>
  <si>
    <t>CANTON_CORONEL MARCELINO MARIDUEÑA</t>
  </si>
  <si>
    <t>CANTON_COTACACHI</t>
  </si>
  <si>
    <t>CANTON_CUENCA</t>
  </si>
  <si>
    <t>CANTON_CUMANDA</t>
  </si>
  <si>
    <t>CANTON_DAULE</t>
  </si>
  <si>
    <t>CANTON_DISTRITO METROPOLITANO DE QUITO</t>
  </si>
  <si>
    <t>CANTON_DURAN</t>
  </si>
  <si>
    <t>CANTON_ECHEANDIA</t>
  </si>
  <si>
    <t>CANTON_EL CARMEN</t>
  </si>
  <si>
    <t>CANTON_EL CHACO</t>
  </si>
  <si>
    <t>CANTON_EL EMPALME</t>
  </si>
  <si>
    <t>CANTON_EL GUABO</t>
  </si>
  <si>
    <t>CANTON_EL PAN</t>
  </si>
  <si>
    <t>CANTON_EL TRIUNFO</t>
  </si>
  <si>
    <t>CANTON_ELOY ALFARO</t>
  </si>
  <si>
    <t>CANTON_ESMERALDAS</t>
  </si>
  <si>
    <t>CANTON_ESPEJO</t>
  </si>
  <si>
    <t>CANTON_GENERAL  ANTONIO ELIZALDE</t>
  </si>
  <si>
    <t>CANTON_GIRON</t>
  </si>
  <si>
    <t>CANTON_GUACHAPALA</t>
  </si>
  <si>
    <t>CANTON_GUALACEO</t>
  </si>
  <si>
    <t>CANTON_GUALAQUIZA</t>
  </si>
  <si>
    <t>CANTON_GUANO</t>
  </si>
  <si>
    <t>CANTON_GUARANDA</t>
  </si>
  <si>
    <t>CANTON_GUAYAQUIL</t>
  </si>
  <si>
    <t>CANTON_HUAMBOYA</t>
  </si>
  <si>
    <t>CANTON_HUAQUILLAS</t>
  </si>
  <si>
    <t>CANTON_IBARRA</t>
  </si>
  <si>
    <t>CANTON_ISIDRO AYORA</t>
  </si>
  <si>
    <t>CANTON_JIPIJAPA</t>
  </si>
  <si>
    <t>CANTON_JUNIN</t>
  </si>
  <si>
    <t>CANTON_LA CONCORDIA</t>
  </si>
  <si>
    <t>CANTON_LA JOYA DE LOS SACHAS</t>
  </si>
  <si>
    <t>CANTON_LA LIBERTAD</t>
  </si>
  <si>
    <t>CANTON_LA MANA</t>
  </si>
  <si>
    <t>CANTON_LA TRONCAL</t>
  </si>
  <si>
    <t>CANTON_LAGO AGRIO</t>
  </si>
  <si>
    <t>CANTON_LAS LAJAS</t>
  </si>
  <si>
    <t>CANTON_LAS NAVES</t>
  </si>
  <si>
    <t>CANTON_LATACUNGA</t>
  </si>
  <si>
    <t>CANTON_LIMON INDANZA</t>
  </si>
  <si>
    <t>CANTON_LOGROÑO</t>
  </si>
  <si>
    <t>CANTON_LOJA</t>
  </si>
  <si>
    <t>CANTON_LOMAS DE SARGENTILLO</t>
  </si>
  <si>
    <t>CANTON_LORETO</t>
  </si>
  <si>
    <t>CANTON_MACARA</t>
  </si>
  <si>
    <t>CANTON_MACHALA</t>
  </si>
  <si>
    <t>CANTON_MANTA</t>
  </si>
  <si>
    <t>CANTON_MEJIA</t>
  </si>
  <si>
    <t>CANTON_MILAGRO</t>
  </si>
  <si>
    <t>CANTON_MIRA</t>
  </si>
  <si>
    <t>CANTON_MONTALVO</t>
  </si>
  <si>
    <t>CANTON_MONTECRISTI</t>
  </si>
  <si>
    <t>CANTON_MONTUFAR</t>
  </si>
  <si>
    <t>CANTON_MORONA</t>
  </si>
  <si>
    <t>CANTON_NABON</t>
  </si>
  <si>
    <t>CANTON_NARANJAL</t>
  </si>
  <si>
    <t>CANTON_NARANJITO</t>
  </si>
  <si>
    <t>CANTON_NOBOL</t>
  </si>
  <si>
    <t>CANTON_ORELLANA</t>
  </si>
  <si>
    <t>CANTON_OTAVALO</t>
  </si>
  <si>
    <t>CANTON_OÑA</t>
  </si>
  <si>
    <t>CANTON_PAJAN</t>
  </si>
  <si>
    <t>CANTON_PALESTINA</t>
  </si>
  <si>
    <t>CANTON_PALLATANGA</t>
  </si>
  <si>
    <t>CANTON_PALORA</t>
  </si>
  <si>
    <t>CANTON_PALTAS</t>
  </si>
  <si>
    <t>CANTON_PANGUA</t>
  </si>
  <si>
    <t>CANTON_PAQUISHA</t>
  </si>
  <si>
    <t>CANTON_PASAJE</t>
  </si>
  <si>
    <t>CANTON_PASTAZA</t>
  </si>
  <si>
    <t>CANTON_PATATE</t>
  </si>
  <si>
    <t>CANTON_PAUTE</t>
  </si>
  <si>
    <t>CANTON_PEDERNALES</t>
  </si>
  <si>
    <t>CANTON_PEDRO CARBO</t>
  </si>
  <si>
    <t>CANTON_PEDRO MONCAYO</t>
  </si>
  <si>
    <t>CANTON_PEDRO VICENTE MALDONADO</t>
  </si>
  <si>
    <t>CANTON_PICHINCHA</t>
  </si>
  <si>
    <t>CANTON_PIMAMPIRO</t>
  </si>
  <si>
    <t>CANTON_PINDAL</t>
  </si>
  <si>
    <t>CANTON_PIÑAS</t>
  </si>
  <si>
    <t>CANTON_PLAYAS</t>
  </si>
  <si>
    <t>CANTON_PORTOVELO</t>
  </si>
  <si>
    <t>CANTON_PORTOVIEJO</t>
  </si>
  <si>
    <t>CANTON_PUCARA</t>
  </si>
  <si>
    <t>CANTON_PUEBLOVIEJO</t>
  </si>
  <si>
    <t>CANTON_PUERTO LOPEZ</t>
  </si>
  <si>
    <t>CANTON_PUERTO QUITO</t>
  </si>
  <si>
    <t>CANTON_PUJILI</t>
  </si>
  <si>
    <t>CANTON_PUTUMAYO</t>
  </si>
  <si>
    <t>CANTON_QUERO</t>
  </si>
  <si>
    <t>CANTON_QUEVEDO</t>
  </si>
  <si>
    <t>CANTON_QUIJOS</t>
  </si>
  <si>
    <t>CANTON_QUININDE</t>
  </si>
  <si>
    <t>CANTON_RIOBAMBA</t>
  </si>
  <si>
    <t>CANTON_RIOVERDE</t>
  </si>
  <si>
    <t>CANTON_ROCAFUERTE</t>
  </si>
  <si>
    <t>CANTON_RUMIÑAHUI</t>
  </si>
  <si>
    <t>CANTON_SALCEDO</t>
  </si>
  <si>
    <t>CANTON_SALINAS</t>
  </si>
  <si>
    <t>CANTON_SALITRE</t>
  </si>
  <si>
    <t>CANTON_SAMBORONDON</t>
  </si>
  <si>
    <t>CANTON_SAN CRISTOBAL</t>
  </si>
  <si>
    <t>CANTON_SAN JACINTO DE YAGUACHI</t>
  </si>
  <si>
    <t>CANTON_SAN JUAN BOSCO</t>
  </si>
  <si>
    <t>CANTON_SAN LORENZO</t>
  </si>
  <si>
    <t>CANTON_SAN MIGUEL</t>
  </si>
  <si>
    <t>CANTON_SAN MIGUEL DE LOS BANCOS</t>
  </si>
  <si>
    <t>CANTON_SAN MIGUEL DE URCUQUI</t>
  </si>
  <si>
    <t>CANTON_SAN PEDRO DE PELILEO</t>
  </si>
  <si>
    <t>CANTON_SAN VICENTE</t>
  </si>
  <si>
    <t>CANTON_SANTA ANA</t>
  </si>
  <si>
    <t>CANTON_SANTA CRUZ</t>
  </si>
  <si>
    <t>CANTON_SANTA ELENA</t>
  </si>
  <si>
    <t>CANTON_SANTA ISABEL</t>
  </si>
  <si>
    <t>CANTON_SANTA LUCIA</t>
  </si>
  <si>
    <t>CANTON_SANTA ROSA</t>
  </si>
  <si>
    <t>CANTON_SANTIAGO</t>
  </si>
  <si>
    <t>CANTON_SANTIAGO DE PILLARO</t>
  </si>
  <si>
    <t>CANTON_SANTO DOMINGO</t>
  </si>
  <si>
    <t>CANTON_SAQUISILI</t>
  </si>
  <si>
    <t>CANTON_SARAGURO</t>
  </si>
  <si>
    <t>CANTON_SEVILLA DE ORO</t>
  </si>
  <si>
    <t>CANTON_SHUSHUFINDI</t>
  </si>
  <si>
    <t>CANTON_SIGCHOS</t>
  </si>
  <si>
    <t>CANTON_SIGSIG</t>
  </si>
  <si>
    <t>CANTON_SIMON BOLIVAR</t>
  </si>
  <si>
    <t>CANTON_SUCRE</t>
  </si>
  <si>
    <t>CANTON_SUCUA</t>
  </si>
  <si>
    <t>CANTON_SUCUMBIOS</t>
  </si>
  <si>
    <t>CANTON_TAISHA</t>
  </si>
  <si>
    <t>CANTON_TENA</t>
  </si>
  <si>
    <t>CANTON_TIWINTZA</t>
  </si>
  <si>
    <t>CANTON_TOSAGUA</t>
  </si>
  <si>
    <t>CANTON_TULCAN</t>
  </si>
  <si>
    <t>CANTON_VALENCIA</t>
  </si>
  <si>
    <t>CANTON_VENTANAS</t>
  </si>
  <si>
    <t>CANTON_VINCES</t>
  </si>
  <si>
    <t>CANTON_YANTZAZA</t>
  </si>
  <si>
    <t>CANTON_ZAMORA</t>
  </si>
  <si>
    <t>CANTON_ZAPOTILLO</t>
  </si>
  <si>
    <t>CANTON_ZARUMA</t>
  </si>
  <si>
    <t>ZONA_RURAL</t>
  </si>
  <si>
    <t>ZONA_URBANA</t>
  </si>
  <si>
    <t>bias</t>
  </si>
  <si>
    <t>indice_salida</t>
  </si>
  <si>
    <t>clase</t>
  </si>
  <si>
    <t>DAÑOS MECÁNICOS</t>
  </si>
  <si>
    <t>EMBRIAGUEZ O DROGA</t>
  </si>
  <si>
    <t>EXCESO VELOCIDAD</t>
  </si>
  <si>
    <t>FACTORES CLIMÁTICOS</t>
  </si>
  <si>
    <t>IMPERICIA E IMPRUDENCIA DEL CONDUCTOR</t>
  </si>
  <si>
    <t>IMPRUDENCIA  DEL PEATÓN</t>
  </si>
  <si>
    <t>MAL ESTADO DE LA VÍA</t>
  </si>
  <si>
    <t>MAL REBASAMIENTO INVADIR CARRIL</t>
  </si>
  <si>
    <t>NO RESPETA LAS SEÑALES DE TRÁNSITO</t>
  </si>
  <si>
    <t>OTRAS CAUSAS</t>
  </si>
  <si>
    <t>Column1</t>
  </si>
  <si>
    <t>valor</t>
  </si>
  <si>
    <t>probabilidad_python</t>
  </si>
  <si>
    <t>raw value</t>
  </si>
  <si>
    <t>neuron</t>
  </si>
  <si>
    <t>z</t>
  </si>
  <si>
    <t>a_relu</t>
  </si>
  <si>
    <t>class_idx</t>
  </si>
  <si>
    <t>class</t>
  </si>
  <si>
    <t>score</t>
  </si>
  <si>
    <t>exp</t>
  </si>
  <si>
    <t>probability</t>
  </si>
  <si>
    <t>prob_python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</si>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</sst>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700806E0-419C-4503-B61E-6B7708B96872}" autoFormatId="16" applyNumberFormats="0" applyBorderFormats="0" applyFontFormats="0" applyPatternFormats="0" applyAlignmentFormats="0" applyWidthHeightFormats="0">
  <queryTableRefresh nextId="3">
    <queryTableFields count="2">
      <queryTableField id="1" name="clase" tableColumnId="1"/>
      <queryTableField id="2" name="probabilidad_python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0A8D068-64D1-4FD2-9389-D9191815A01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valor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4632EA-D41F-4FC8-B75B-245FEDD789C4}" name="probabilidades_python_referencia" displayName="probabilidades_python_referencia" ref="A1:B11" tableType="queryTable" totalsRowShown="0">
  <autoFilter ref="A1:B11" xr:uid="{C74632EA-D41F-4FC8-B75B-245FEDD789C4}"/>
  <tableColumns count="2">
    <tableColumn id="1" xr3:uid="{F9D68F18-232F-4785-A99A-7D3B330E570E}" uniqueName="1" name="clase" queryTableFieldId="1" dataDxfId="0"/>
    <tableColumn id="2" xr3:uid="{84576E8E-7BEA-4FF6-9DBA-1C488379FB7B}" uniqueName="2" name="probabilidad_python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D8655E-50A7-43AD-9376-F148B4A6D7A7}" name="observacion_prueba_cruda" displayName="observacion_prueba_cruda" ref="A1:B242" tableType="queryTable" totalsRowShown="0">
  <autoFilter ref="A1:B242" xr:uid="{61D8655E-50A7-43AD-9376-F148B4A6D7A7}"/>
  <tableColumns count="2">
    <tableColumn id="1" xr3:uid="{CB121115-BEE2-4F7F-A1B5-4735F43B02F3}" uniqueName="1" name="Column1" queryTableFieldId="1" dataDxfId="1"/>
    <tableColumn id="2" xr3:uid="{8CB13B5A-3E24-429F-9D0E-10624FC9A088}" uniqueName="2" name="valor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AB39-3399-4775-A64D-B45EF9AE1AF4}">
  <dimension ref="A1:B11"/>
  <sheetViews>
    <sheetView workbookViewId="0"/>
  </sheetViews>
  <sheetFormatPr baseColWidth="10" defaultRowHeight="15" x14ac:dyDescent="0.25"/>
  <cols>
    <col min="1" max="1" width="32.85546875" bestFit="1" customWidth="1"/>
    <col min="2" max="2" width="22" bestFit="1" customWidth="1"/>
  </cols>
  <sheetData>
    <row r="1" spans="1:2" x14ac:dyDescent="0.25">
      <c r="A1" t="s">
        <v>246</v>
      </c>
      <c r="B1" t="s">
        <v>259</v>
      </c>
    </row>
    <row r="2" spans="1:2" x14ac:dyDescent="0.25">
      <c r="A2" s="2" t="s">
        <v>247</v>
      </c>
      <c r="B2">
        <v>9.1705258731994833E-4</v>
      </c>
    </row>
    <row r="3" spans="1:2" x14ac:dyDescent="0.25">
      <c r="A3" s="2" t="s">
        <v>248</v>
      </c>
      <c r="B3">
        <v>0.36071133748798961</v>
      </c>
    </row>
    <row r="4" spans="1:2" x14ac:dyDescent="0.25">
      <c r="A4" s="2" t="s">
        <v>249</v>
      </c>
      <c r="B4">
        <v>0.21594479156037827</v>
      </c>
    </row>
    <row r="5" spans="1:2" x14ac:dyDescent="0.25">
      <c r="A5" s="2" t="s">
        <v>250</v>
      </c>
      <c r="B5">
        <v>1.1832096609122952E-2</v>
      </c>
    </row>
    <row r="6" spans="1:2" x14ac:dyDescent="0.25">
      <c r="A6" s="2" t="s">
        <v>251</v>
      </c>
      <c r="B6">
        <v>0.22407225438583539</v>
      </c>
    </row>
    <row r="7" spans="1:2" x14ac:dyDescent="0.25">
      <c r="A7" s="2" t="s">
        <v>252</v>
      </c>
      <c r="B7">
        <v>6.9184942260330895E-2</v>
      </c>
    </row>
    <row r="8" spans="1:2" x14ac:dyDescent="0.25">
      <c r="A8" s="2" t="s">
        <v>253</v>
      </c>
      <c r="B8">
        <v>1.2202645652197778E-2</v>
      </c>
    </row>
    <row r="9" spans="1:2" x14ac:dyDescent="0.25">
      <c r="A9" s="2" t="s">
        <v>254</v>
      </c>
      <c r="B9">
        <v>6.2996122832367843E-2</v>
      </c>
    </row>
    <row r="10" spans="1:2" x14ac:dyDescent="0.25">
      <c r="A10" s="2" t="s">
        <v>255</v>
      </c>
      <c r="B10">
        <v>3.9811625327502806E-2</v>
      </c>
    </row>
    <row r="11" spans="1:2" x14ac:dyDescent="0.25">
      <c r="A11" s="2" t="s">
        <v>256</v>
      </c>
      <c r="B11">
        <v>2.3271312969543843E-3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F13D-DDEA-4455-8FA4-A426E3359AAC}">
  <dimension ref="A1:E241"/>
  <sheetViews>
    <sheetView tabSelected="1" workbookViewId="0">
      <selection activeCell="H10" sqref="H10"/>
    </sheetView>
  </sheetViews>
  <sheetFormatPr baseColWidth="10" defaultRowHeight="15" x14ac:dyDescent="0.25"/>
  <sheetData>
    <row r="1" spans="1:5" x14ac:dyDescent="0.25">
      <c r="A1" t="s">
        <v>0</v>
      </c>
      <c r="B1" t="s">
        <v>260</v>
      </c>
      <c r="C1" t="s">
        <v>1</v>
      </c>
      <c r="D1" t="s">
        <v>2</v>
      </c>
    </row>
    <row r="2" spans="1:5" x14ac:dyDescent="0.25">
      <c r="A2" t="str">
        <f>'0_Entrada'!A2</f>
        <v>MES_ABRIL</v>
      </c>
      <c r="B2" t="b">
        <f>'0_Entrada'!B2</f>
        <v>0</v>
      </c>
      <c r="C2">
        <f>Scaler!B2</f>
        <v>8.1571457613336049E-2</v>
      </c>
      <c r="D2">
        <f>Scaler!C2</f>
        <v>0.27371071392287838</v>
      </c>
      <c r="E2">
        <f>(--B2-C2)/D2</f>
        <v>-0.29802069653846247</v>
      </c>
    </row>
    <row r="3" spans="1:5" x14ac:dyDescent="0.25">
      <c r="A3" t="str">
        <f>'0_Entrada'!A3</f>
        <v>MES_AGOSTO</v>
      </c>
      <c r="B3" t="b">
        <f>'0_Entrada'!B3</f>
        <v>0</v>
      </c>
      <c r="C3">
        <f>Scaler!B3</f>
        <v>8.6907908111404752E-2</v>
      </c>
      <c r="D3">
        <f>Scaler!C3</f>
        <v>0.28170005967181538</v>
      </c>
      <c r="E3">
        <f t="shared" ref="E3:E66" si="0">(--B3-C3)/D3</f>
        <v>-0.30851221051445182</v>
      </c>
    </row>
    <row r="4" spans="1:5" x14ac:dyDescent="0.25">
      <c r="A4" t="str">
        <f>'0_Entrada'!A4</f>
        <v>MES_DICIEMBRE</v>
      </c>
      <c r="B4" t="b">
        <f>'0_Entrada'!B4</f>
        <v>0</v>
      </c>
      <c r="C4">
        <f>Scaler!B4</f>
        <v>9.4175645456393578E-2</v>
      </c>
      <c r="D4">
        <f>Scaler!C4</f>
        <v>0.29207292455697642</v>
      </c>
      <c r="E4">
        <f t="shared" si="0"/>
        <v>-0.32243880736032471</v>
      </c>
    </row>
    <row r="5" spans="1:5" x14ac:dyDescent="0.25">
      <c r="A5" t="str">
        <f>'0_Entrada'!A5</f>
        <v>MES_ENERO</v>
      </c>
      <c r="B5" t="b">
        <f>'0_Entrada'!B5</f>
        <v>1</v>
      </c>
      <c r="C5">
        <f>Scaler!B5</f>
        <v>7.7607237243342148E-2</v>
      </c>
      <c r="D5">
        <f>Scaler!C5</f>
        <v>0.26755252562963727</v>
      </c>
      <c r="E5">
        <f t="shared" si="0"/>
        <v>3.4475202975040902</v>
      </c>
    </row>
    <row r="6" spans="1:5" x14ac:dyDescent="0.25">
      <c r="A6" t="str">
        <f>'0_Entrada'!A6</f>
        <v>MES_FEBRERO</v>
      </c>
      <c r="B6" t="b">
        <f>'0_Entrada'!B6</f>
        <v>0</v>
      </c>
      <c r="C6">
        <f>Scaler!B6</f>
        <v>7.9284407399878021E-2</v>
      </c>
      <c r="D6">
        <f>Scaler!C6</f>
        <v>0.27018214253190048</v>
      </c>
      <c r="E6">
        <f t="shared" si="0"/>
        <v>-0.29344799273888683</v>
      </c>
    </row>
    <row r="7" spans="1:5" x14ac:dyDescent="0.25">
      <c r="A7" t="str">
        <f>'0_Entrada'!A7</f>
        <v>MES_JULIO</v>
      </c>
      <c r="B7" t="b">
        <f>'0_Entrada'!B7</f>
        <v>0</v>
      </c>
      <c r="C7">
        <f>Scaler!B7</f>
        <v>8.553567798332995E-2</v>
      </c>
      <c r="D7">
        <f>Scaler!C7</f>
        <v>0.27967718136319603</v>
      </c>
      <c r="E7">
        <f t="shared" si="0"/>
        <v>-0.30583717115001635</v>
      </c>
    </row>
    <row r="8" spans="1:5" x14ac:dyDescent="0.25">
      <c r="A8" t="str">
        <f>'0_Entrada'!A8</f>
        <v>MES_JUNIO</v>
      </c>
      <c r="B8" t="b">
        <f>'0_Entrada'!B8</f>
        <v>0</v>
      </c>
      <c r="C8">
        <f>Scaler!B8</f>
        <v>8.553567798332995E-2</v>
      </c>
      <c r="D8">
        <f>Scaler!C8</f>
        <v>0.27967718136319603</v>
      </c>
      <c r="E8">
        <f t="shared" si="0"/>
        <v>-0.30583717115001635</v>
      </c>
    </row>
    <row r="9" spans="1:5" x14ac:dyDescent="0.25">
      <c r="A9" t="str">
        <f>'0_Entrada'!A9</f>
        <v>MES_MARZO</v>
      </c>
      <c r="B9" t="b">
        <f>'0_Entrada'!B9</f>
        <v>0</v>
      </c>
      <c r="C9">
        <f>Scaler!B9</f>
        <v>8.517991461679203E-2</v>
      </c>
      <c r="D9">
        <f>Scaler!C9</f>
        <v>0.2791492374388081</v>
      </c>
      <c r="E9">
        <f t="shared" si="0"/>
        <v>-0.30514113310255486</v>
      </c>
    </row>
    <row r="10" spans="1:5" x14ac:dyDescent="0.25">
      <c r="A10" t="str">
        <f>'0_Entrada'!A10</f>
        <v>MES_MAYO</v>
      </c>
      <c r="B10" t="b">
        <f>'0_Entrada'!B10</f>
        <v>0</v>
      </c>
      <c r="C10">
        <f>Scaler!B10</f>
        <v>8.0707460866029687E-2</v>
      </c>
      <c r="D10">
        <f>Scaler!C10</f>
        <v>0.2723853274803692</v>
      </c>
      <c r="E10">
        <f t="shared" si="0"/>
        <v>-0.29629885578857501</v>
      </c>
    </row>
    <row r="11" spans="1:5" x14ac:dyDescent="0.25">
      <c r="A11" t="str">
        <f>'0_Entrada'!A11</f>
        <v>MES_NOVIEMBRE</v>
      </c>
      <c r="B11" t="b">
        <f>'0_Entrada'!B11</f>
        <v>0</v>
      </c>
      <c r="C11">
        <f>Scaler!B11</f>
        <v>8.5993088026021555E-2</v>
      </c>
      <c r="D11">
        <f>Scaler!C11</f>
        <v>0.28035384220261811</v>
      </c>
      <c r="E11">
        <f t="shared" si="0"/>
        <v>-0.30673054933155647</v>
      </c>
    </row>
    <row r="12" spans="1:5" x14ac:dyDescent="0.25">
      <c r="A12" t="str">
        <f>'0_Entrada'!A12</f>
        <v>MES_OCTUBRE</v>
      </c>
      <c r="B12" t="b">
        <f>'0_Entrada'!B12</f>
        <v>0</v>
      </c>
      <c r="C12">
        <f>Scaler!B12</f>
        <v>7.2829843464118721E-2</v>
      </c>
      <c r="D12">
        <f>Scaler!C12</f>
        <v>0.25985699406618001</v>
      </c>
      <c r="E12">
        <f t="shared" si="0"/>
        <v>-0.28026893686598453</v>
      </c>
    </row>
    <row r="13" spans="1:5" x14ac:dyDescent="0.25">
      <c r="A13" t="str">
        <f>'0_Entrada'!A13</f>
        <v>MES_SEPTIEMBRE</v>
      </c>
      <c r="B13" t="b">
        <f>'0_Entrada'!B13</f>
        <v>0</v>
      </c>
      <c r="C13">
        <f>Scaler!B13</f>
        <v>8.4671681236023588E-2</v>
      </c>
      <c r="D13">
        <f>Scaler!C13</f>
        <v>0.27839250642337482</v>
      </c>
      <c r="E13">
        <f t="shared" si="0"/>
        <v>-0.30414497259224449</v>
      </c>
    </row>
    <row r="14" spans="1:5" x14ac:dyDescent="0.25">
      <c r="A14" t="str">
        <f>'0_Entrada'!A14</f>
        <v>DIA_DOMINGO</v>
      </c>
      <c r="B14" t="b">
        <f>'0_Entrada'!B14</f>
        <v>0</v>
      </c>
      <c r="C14">
        <f>Scaler!B14</f>
        <v>0.18931693433624719</v>
      </c>
      <c r="D14">
        <f>Scaler!C14</f>
        <v>0.39176017243943051</v>
      </c>
      <c r="E14">
        <f t="shared" si="0"/>
        <v>-0.48324701604402426</v>
      </c>
    </row>
    <row r="15" spans="1:5" x14ac:dyDescent="0.25">
      <c r="A15" t="str">
        <f>'0_Entrada'!A15</f>
        <v>DIA_JUEVES</v>
      </c>
      <c r="B15" t="b">
        <f>'0_Entrada'!B15</f>
        <v>1</v>
      </c>
      <c r="C15">
        <f>Scaler!B15</f>
        <v>0.120908721284814</v>
      </c>
      <c r="D15">
        <f>Scaler!C15</f>
        <v>0.32602116864106412</v>
      </c>
      <c r="E15">
        <f t="shared" si="0"/>
        <v>2.6964239235735925</v>
      </c>
    </row>
    <row r="16" spans="1:5" x14ac:dyDescent="0.25">
      <c r="A16" t="str">
        <f>'0_Entrada'!A16</f>
        <v>DIA_LUNES</v>
      </c>
      <c r="B16" t="b">
        <f>'0_Entrada'!B16</f>
        <v>0</v>
      </c>
      <c r="C16">
        <f>Scaler!B16</f>
        <v>0.1230433014840415</v>
      </c>
      <c r="D16">
        <f>Scaler!C16</f>
        <v>0.32848690604641878</v>
      </c>
      <c r="E16">
        <f t="shared" si="0"/>
        <v>-0.37457597005907484</v>
      </c>
    </row>
    <row r="17" spans="1:5" x14ac:dyDescent="0.25">
      <c r="A17" t="str">
        <f>'0_Entrada'!A17</f>
        <v>DIA_MARTES</v>
      </c>
      <c r="B17" t="b">
        <f>'0_Entrada'!B17</f>
        <v>0</v>
      </c>
      <c r="C17">
        <f>Scaler!B17</f>
        <v>0.120908721284814</v>
      </c>
      <c r="D17">
        <f>Scaler!C17</f>
        <v>0.32602116864106412</v>
      </c>
      <c r="E17">
        <f t="shared" si="0"/>
        <v>-0.37086156640929513</v>
      </c>
    </row>
    <row r="18" spans="1:5" x14ac:dyDescent="0.25">
      <c r="A18" t="str">
        <f>'0_Entrada'!A18</f>
        <v>DIA_MIÉRCOLES</v>
      </c>
      <c r="B18" t="b">
        <f>'0_Entrada'!B18</f>
        <v>0</v>
      </c>
      <c r="C18">
        <f>Scaler!B18</f>
        <v>0.1170969709290506</v>
      </c>
      <c r="D18">
        <f>Scaler!C18</f>
        <v>0.32153579945053029</v>
      </c>
      <c r="E18">
        <f t="shared" si="0"/>
        <v>-0.36418019744350888</v>
      </c>
    </row>
    <row r="19" spans="1:5" x14ac:dyDescent="0.25">
      <c r="A19" t="str">
        <f>'0_Entrada'!A19</f>
        <v>DIA_SÁBADO</v>
      </c>
      <c r="B19" t="b">
        <f>'0_Entrada'!B19</f>
        <v>0</v>
      </c>
      <c r="C19">
        <f>Scaler!B19</f>
        <v>0.1804736735108762</v>
      </c>
      <c r="D19">
        <f>Scaler!C19</f>
        <v>0.3845814954991541</v>
      </c>
      <c r="E19">
        <f t="shared" si="0"/>
        <v>-0.4692728995622546</v>
      </c>
    </row>
    <row r="20" spans="1:5" x14ac:dyDescent="0.25">
      <c r="A20" t="str">
        <f>'0_Entrada'!A20</f>
        <v>DIA_VIERNES</v>
      </c>
      <c r="B20" t="b">
        <f>'0_Entrada'!B20</f>
        <v>0</v>
      </c>
      <c r="C20">
        <f>Scaler!B20</f>
        <v>0.1482516771701565</v>
      </c>
      <c r="D20">
        <f>Scaler!C20</f>
        <v>0.35534928927238929</v>
      </c>
      <c r="E20">
        <f t="shared" si="0"/>
        <v>-0.41719986966546518</v>
      </c>
    </row>
    <row r="21" spans="1:5" x14ac:dyDescent="0.25">
      <c r="A21" t="str">
        <f>'0_Entrada'!A21</f>
        <v>HORA_00:00 A 00:59</v>
      </c>
      <c r="B21" t="b">
        <f>'0_Entrada'!B21</f>
        <v>0</v>
      </c>
      <c r="C21">
        <f>Scaler!B21</f>
        <v>3.0951412888798539E-2</v>
      </c>
      <c r="D21">
        <f>Scaler!C21</f>
        <v>0.17318609334754809</v>
      </c>
      <c r="E21">
        <f t="shared" si="0"/>
        <v>-0.17871765735072942</v>
      </c>
    </row>
    <row r="22" spans="1:5" x14ac:dyDescent="0.25">
      <c r="A22" t="str">
        <f>'0_Entrada'!A22</f>
        <v>HORA_01:00 A 01:59</v>
      </c>
      <c r="B22" t="b">
        <f>'0_Entrada'!B22</f>
        <v>0</v>
      </c>
      <c r="C22">
        <f>Scaler!B22</f>
        <v>3.4407399878023992E-2</v>
      </c>
      <c r="D22">
        <f>Scaler!C22</f>
        <v>0.18227323092450451</v>
      </c>
      <c r="E22">
        <f t="shared" si="0"/>
        <v>-0.18876825578559664</v>
      </c>
    </row>
    <row r="23" spans="1:5" x14ac:dyDescent="0.25">
      <c r="A23" t="str">
        <f>'0_Entrada'!A23</f>
        <v>HORA_02:00 A 02:59</v>
      </c>
      <c r="B23" t="b">
        <f>'0_Entrada'!B23</f>
        <v>0</v>
      </c>
      <c r="C23">
        <f>Scaler!B23</f>
        <v>3.0443179508030091E-2</v>
      </c>
      <c r="D23">
        <f>Scaler!C23</f>
        <v>0.17180335366188851</v>
      </c>
      <c r="E23">
        <f t="shared" si="0"/>
        <v>-0.17719781866390519</v>
      </c>
    </row>
    <row r="24" spans="1:5" x14ac:dyDescent="0.25">
      <c r="A24" t="str">
        <f>'0_Entrada'!A24</f>
        <v>HORA_03:00 A 03:59</v>
      </c>
      <c r="B24" t="b">
        <f>'0_Entrada'!B24</f>
        <v>0</v>
      </c>
      <c r="C24">
        <f>Scaler!B24</f>
        <v>3.0392356169953241E-2</v>
      </c>
      <c r="D24">
        <f>Scaler!C24</f>
        <v>0.17166438435619641</v>
      </c>
      <c r="E24">
        <f t="shared" si="0"/>
        <v>-0.17704520529366402</v>
      </c>
    </row>
    <row r="25" spans="1:5" x14ac:dyDescent="0.25">
      <c r="A25" t="str">
        <f>'0_Entrada'!A25</f>
        <v>HORA_04:00 A 04:59</v>
      </c>
      <c r="B25" t="b">
        <f>'0_Entrada'!B25</f>
        <v>0</v>
      </c>
      <c r="C25">
        <f>Scaler!B25</f>
        <v>2.7546249237649929E-2</v>
      </c>
      <c r="D25">
        <f>Scaler!C25</f>
        <v>0.16366873064390519</v>
      </c>
      <c r="E25">
        <f t="shared" si="0"/>
        <v>-0.16830489934929863</v>
      </c>
    </row>
    <row r="26" spans="1:5" x14ac:dyDescent="0.25">
      <c r="A26" t="str">
        <f>'0_Entrada'!A26</f>
        <v>HORA_05:00 A 05:59</v>
      </c>
      <c r="B26" t="b">
        <f>'0_Entrada'!B26</f>
        <v>0</v>
      </c>
      <c r="C26">
        <f>Scaler!B26</f>
        <v>3.5169749949176661E-2</v>
      </c>
      <c r="D26">
        <f>Scaler!C26</f>
        <v>0.18420868230810691</v>
      </c>
      <c r="E26">
        <f t="shared" si="0"/>
        <v>-0.19092341092995735</v>
      </c>
    </row>
    <row r="27" spans="1:5" x14ac:dyDescent="0.25">
      <c r="A27" t="str">
        <f>'0_Entrada'!A27</f>
        <v>HORA_06:00 A 06:59</v>
      </c>
      <c r="B27" t="b">
        <f>'0_Entrada'!B27</f>
        <v>0</v>
      </c>
      <c r="C27">
        <f>Scaler!B27</f>
        <v>4.3098190689164463E-2</v>
      </c>
      <c r="D27">
        <f>Scaler!C27</f>
        <v>0.20307815404047011</v>
      </c>
      <c r="E27">
        <f t="shared" si="0"/>
        <v>-0.21222465258658846</v>
      </c>
    </row>
    <row r="28" spans="1:5" x14ac:dyDescent="0.25">
      <c r="A28" t="str">
        <f>'0_Entrada'!A28</f>
        <v>HORA_07:00 A 07:59</v>
      </c>
      <c r="B28" t="b">
        <f>'0_Entrada'!B28</f>
        <v>0</v>
      </c>
      <c r="C28">
        <f>Scaler!B28</f>
        <v>4.9857694653384833E-2</v>
      </c>
      <c r="D28">
        <f>Scaler!C28</f>
        <v>0.21765087855838</v>
      </c>
      <c r="E28">
        <f t="shared" si="0"/>
        <v>-0.22907187411151028</v>
      </c>
    </row>
    <row r="29" spans="1:5" x14ac:dyDescent="0.25">
      <c r="A29" t="str">
        <f>'0_Entrada'!A29</f>
        <v>HORA_08:00 A 08:59</v>
      </c>
      <c r="B29" t="b">
        <f>'0_Entrada'!B29</f>
        <v>0</v>
      </c>
      <c r="C29">
        <f>Scaler!B29</f>
        <v>4.2285017279934937E-2</v>
      </c>
      <c r="D29">
        <f>Scaler!C29</f>
        <v>0.20123865084414211</v>
      </c>
      <c r="E29">
        <f t="shared" si="0"/>
        <v>-0.21012373668060605</v>
      </c>
    </row>
    <row r="30" spans="1:5" x14ac:dyDescent="0.25">
      <c r="A30" t="str">
        <f>'0_Entrada'!A30</f>
        <v>HORA_09:00 A 09:59</v>
      </c>
      <c r="B30" t="b">
        <f>'0_Entrada'!B30</f>
        <v>0</v>
      </c>
      <c r="C30">
        <f>Scaler!B30</f>
        <v>3.8473266924171579E-2</v>
      </c>
      <c r="D30">
        <f>Scaler!C30</f>
        <v>0.19233583820066669</v>
      </c>
      <c r="E30">
        <f t="shared" si="0"/>
        <v>-0.20003171163572686</v>
      </c>
    </row>
    <row r="31" spans="1:5" x14ac:dyDescent="0.25">
      <c r="A31" t="str">
        <f>'0_Entrada'!A31</f>
        <v>HORA_10:00 A 10:59</v>
      </c>
      <c r="B31" t="b">
        <f>'0_Entrada'!B31</f>
        <v>0</v>
      </c>
      <c r="C31">
        <f>Scaler!B31</f>
        <v>3.7507623500711518E-2</v>
      </c>
      <c r="D31">
        <f>Scaler!C31</f>
        <v>0.19000210967260439</v>
      </c>
      <c r="E31">
        <f t="shared" si="0"/>
        <v>-0.19740635283124747</v>
      </c>
    </row>
    <row r="32" spans="1:5" x14ac:dyDescent="0.25">
      <c r="A32" t="str">
        <f>'0_Entrada'!A32</f>
        <v>HORA_11:00 A 11:59</v>
      </c>
      <c r="B32" t="b">
        <f>'0_Entrada'!B32</f>
        <v>0</v>
      </c>
      <c r="C32">
        <f>Scaler!B32</f>
        <v>3.7101036796096769E-2</v>
      </c>
      <c r="D32">
        <f>Scaler!C32</f>
        <v>0.1890093909432847</v>
      </c>
      <c r="E32">
        <f t="shared" si="0"/>
        <v>-0.1962920287237449</v>
      </c>
    </row>
    <row r="33" spans="1:5" x14ac:dyDescent="0.25">
      <c r="A33" t="str">
        <f>'0_Entrada'!A33</f>
        <v>HORA_12:00 A 12:59</v>
      </c>
      <c r="B33" t="b">
        <f>'0_Entrada'!B33</f>
        <v>0</v>
      </c>
      <c r="C33">
        <f>Scaler!B33</f>
        <v>4.0455377109168529E-2</v>
      </c>
      <c r="D33">
        <f>Scaler!C33</f>
        <v>0.19702471817547029</v>
      </c>
      <c r="E33">
        <f t="shared" si="0"/>
        <v>-0.2053314806578683</v>
      </c>
    </row>
    <row r="34" spans="1:5" x14ac:dyDescent="0.25">
      <c r="A34" t="str">
        <f>'0_Entrada'!A34</f>
        <v>HORA_13:00 A 13:59</v>
      </c>
      <c r="B34" t="b">
        <f>'0_Entrada'!B34</f>
        <v>0</v>
      </c>
      <c r="C34">
        <f>Scaler!B34</f>
        <v>4.4927830859930878E-2</v>
      </c>
      <c r="D34">
        <f>Scaler!C34</f>
        <v>0.20714565135226071</v>
      </c>
      <c r="E34">
        <f t="shared" si="0"/>
        <v>-0.21689005087308849</v>
      </c>
    </row>
    <row r="35" spans="1:5" x14ac:dyDescent="0.25">
      <c r="A35" t="str">
        <f>'0_Entrada'!A35</f>
        <v>HORA_14:00 A 14:59</v>
      </c>
      <c r="B35" t="b">
        <f>'0_Entrada'!B35</f>
        <v>0</v>
      </c>
      <c r="C35">
        <f>Scaler!B35</f>
        <v>4.3250660703394998E-2</v>
      </c>
      <c r="D35">
        <f>Scaler!C35</f>
        <v>0.20342084714235861</v>
      </c>
      <c r="E35">
        <f t="shared" si="0"/>
        <v>-0.21261665808090546</v>
      </c>
    </row>
    <row r="36" spans="1:5" x14ac:dyDescent="0.25">
      <c r="A36" t="str">
        <f>'0_Entrada'!A36</f>
        <v>HORA_15:00 A 15:59</v>
      </c>
      <c r="B36" t="b">
        <f>'0_Entrada'!B36</f>
        <v>0</v>
      </c>
      <c r="C36">
        <f>Scaler!B36</f>
        <v>5.092498475299858E-2</v>
      </c>
      <c r="D36">
        <f>Scaler!C36</f>
        <v>0.21984456027135499</v>
      </c>
      <c r="E36">
        <f t="shared" si="0"/>
        <v>-0.23164086793933711</v>
      </c>
    </row>
    <row r="37" spans="1:5" x14ac:dyDescent="0.25">
      <c r="A37" t="str">
        <f>'0_Entrada'!A37</f>
        <v>HORA_16:00 A 16:59</v>
      </c>
      <c r="B37" t="b">
        <f>'0_Entrada'!B37</f>
        <v>0</v>
      </c>
      <c r="C37">
        <f>Scaler!B37</f>
        <v>5.0111811343769061E-2</v>
      </c>
      <c r="D37">
        <f>Scaler!C37</f>
        <v>0.21817565791722859</v>
      </c>
      <c r="E37">
        <f t="shared" si="0"/>
        <v>-0.22968562039483095</v>
      </c>
    </row>
    <row r="38" spans="1:5" x14ac:dyDescent="0.25">
      <c r="A38" t="str">
        <f>'0_Entrada'!A38</f>
        <v>HORA_17:00 A 17:59</v>
      </c>
      <c r="B38" t="b">
        <f>'0_Entrada'!B38</f>
        <v>0</v>
      </c>
      <c r="C38">
        <f>Scaler!B38</f>
        <v>5.2398861557227082E-2</v>
      </c>
      <c r="D38">
        <f>Scaler!C38</f>
        <v>0.22283002684722189</v>
      </c>
      <c r="E38">
        <f t="shared" si="0"/>
        <v>-0.23515170867503021</v>
      </c>
    </row>
    <row r="39" spans="1:5" x14ac:dyDescent="0.25">
      <c r="A39" t="str">
        <f>'0_Entrada'!A39</f>
        <v>HORA_18:00 A 18:59</v>
      </c>
      <c r="B39" t="b">
        <f>'0_Entrada'!B39</f>
        <v>0</v>
      </c>
      <c r="C39">
        <f>Scaler!B39</f>
        <v>4.9349461272616392E-2</v>
      </c>
      <c r="D39">
        <f>Scaler!C39</f>
        <v>0.2165966111108826</v>
      </c>
      <c r="E39">
        <f t="shared" si="0"/>
        <v>-0.22784041273551067</v>
      </c>
    </row>
    <row r="40" spans="1:5" x14ac:dyDescent="0.25">
      <c r="A40" t="str">
        <f>'0_Entrada'!A40</f>
        <v>HORA_19:00 A 19:59</v>
      </c>
      <c r="B40" t="b">
        <f>'0_Entrada'!B40</f>
        <v>0</v>
      </c>
      <c r="C40">
        <f>Scaler!B40</f>
        <v>5.9107542183370602E-2</v>
      </c>
      <c r="D40">
        <f>Scaler!C40</f>
        <v>0.23582586931974131</v>
      </c>
      <c r="E40">
        <f t="shared" si="0"/>
        <v>-0.25064062036056972</v>
      </c>
    </row>
    <row r="41" spans="1:5" x14ac:dyDescent="0.25">
      <c r="A41" t="str">
        <f>'0_Entrada'!A41</f>
        <v>HORA_20:00 A 20:59</v>
      </c>
      <c r="B41" t="b">
        <f>'0_Entrada'!B41</f>
        <v>1</v>
      </c>
      <c r="C41">
        <f>Scaler!B41</f>
        <v>5.1077454767229108E-2</v>
      </c>
      <c r="D41">
        <f>Scaler!C41</f>
        <v>0.2201557366541485</v>
      </c>
      <c r="E41">
        <f t="shared" si="0"/>
        <v>4.310233108862711</v>
      </c>
    </row>
    <row r="42" spans="1:5" x14ac:dyDescent="0.25">
      <c r="A42" t="str">
        <f>'0_Entrada'!A42</f>
        <v>HORA_21:00 A 21:59</v>
      </c>
      <c r="B42" t="b">
        <f>'0_Entrada'!B42</f>
        <v>0</v>
      </c>
      <c r="C42">
        <f>Scaler!B42</f>
        <v>4.411465745070136E-2</v>
      </c>
      <c r="D42">
        <f>Scaler!C42</f>
        <v>0.20534983430406911</v>
      </c>
      <c r="E42">
        <f t="shared" si="0"/>
        <v>-0.21482684707395064</v>
      </c>
    </row>
    <row r="43" spans="1:5" x14ac:dyDescent="0.25">
      <c r="A43" t="str">
        <f>'0_Entrada'!A43</f>
        <v>HORA_22:00 A 22:59</v>
      </c>
      <c r="B43" t="b">
        <f>'0_Entrada'!B43</f>
        <v>0</v>
      </c>
      <c r="C43">
        <f>Scaler!B43</f>
        <v>4.1624313884935961E-2</v>
      </c>
      <c r="D43">
        <f>Scaler!C43</f>
        <v>0.19972914253694751</v>
      </c>
      <c r="E43">
        <f t="shared" si="0"/>
        <v>-0.20840380805838565</v>
      </c>
    </row>
    <row r="44" spans="1:5" x14ac:dyDescent="0.25">
      <c r="A44" t="str">
        <f>'0_Entrada'!A44</f>
        <v>HORA_23:00 A 23:59</v>
      </c>
      <c r="B44" t="b">
        <f>'0_Entrada'!B44</f>
        <v>0</v>
      </c>
      <c r="C44">
        <f>Scaler!B44</f>
        <v>3.5423866639560889E-2</v>
      </c>
      <c r="D44">
        <f>Scaler!C44</f>
        <v>0.18484863080873359</v>
      </c>
      <c r="E44">
        <f t="shared" si="0"/>
        <v>-0.19163716000804268</v>
      </c>
    </row>
    <row r="45" spans="1:5" x14ac:dyDescent="0.25">
      <c r="A45" t="str">
        <f>'0_Entrada'!A45</f>
        <v>PROVINCIA_AZUAY</v>
      </c>
      <c r="B45" t="b">
        <f>'0_Entrada'!B45</f>
        <v>0</v>
      </c>
      <c r="C45">
        <f>Scaler!B45</f>
        <v>5.1484041471843871E-2</v>
      </c>
      <c r="D45">
        <f>Scaler!C45</f>
        <v>0.22098288382942549</v>
      </c>
      <c r="E45">
        <f t="shared" si="0"/>
        <v>-0.23297750748688706</v>
      </c>
    </row>
    <row r="46" spans="1:5" x14ac:dyDescent="0.25">
      <c r="A46" t="str">
        <f>'0_Entrada'!A46</f>
        <v>PROVINCIA_BOLÍVAR</v>
      </c>
      <c r="B46" t="b">
        <f>'0_Entrada'!B46</f>
        <v>0</v>
      </c>
      <c r="C46">
        <f>Scaler!B46</f>
        <v>5.7430372026834719E-3</v>
      </c>
      <c r="D46">
        <f>Scaler!C46</f>
        <v>7.556490406512846E-2</v>
      </c>
      <c r="E46">
        <f t="shared" si="0"/>
        <v>-7.6001382834200631E-2</v>
      </c>
    </row>
    <row r="47" spans="1:5" x14ac:dyDescent="0.25">
      <c r="A47" t="str">
        <f>'0_Entrada'!A47</f>
        <v>PROVINCIA_CARCHI</v>
      </c>
      <c r="B47" t="b">
        <f>'0_Entrada'!B47</f>
        <v>0</v>
      </c>
      <c r="C47">
        <f>Scaler!B47</f>
        <v>3.608457003455987E-3</v>
      </c>
      <c r="D47">
        <f>Scaler!C47</f>
        <v>5.9961954950703493E-2</v>
      </c>
      <c r="E47">
        <f t="shared" si="0"/>
        <v>-6.0179108676870305E-2</v>
      </c>
    </row>
    <row r="48" spans="1:5" x14ac:dyDescent="0.25">
      <c r="A48" t="str">
        <f>'0_Entrada'!A48</f>
        <v>PROVINCIA_CAÑAR</v>
      </c>
      <c r="B48" t="b">
        <f>'0_Entrada'!B48</f>
        <v>0</v>
      </c>
      <c r="C48">
        <f>Scaler!B48</f>
        <v>3.0494002846106929E-3</v>
      </c>
      <c r="D48">
        <f>Scaler!C48</f>
        <v>5.5137114927378182E-2</v>
      </c>
      <c r="E48">
        <f t="shared" si="0"/>
        <v>-5.530576434089992E-2</v>
      </c>
    </row>
    <row r="49" spans="1:5" x14ac:dyDescent="0.25">
      <c r="A49" t="str">
        <f>'0_Entrada'!A49</f>
        <v>PROVINCIA_CHIMBORAZO</v>
      </c>
      <c r="B49" t="b">
        <f>'0_Entrada'!B49</f>
        <v>0</v>
      </c>
      <c r="C49">
        <f>Scaler!B49</f>
        <v>2.439520227688555E-2</v>
      </c>
      <c r="D49">
        <f>Scaler!C49</f>
        <v>0.15427273376314879</v>
      </c>
      <c r="E49">
        <f t="shared" si="0"/>
        <v>-0.1581303557784807</v>
      </c>
    </row>
    <row r="50" spans="1:5" x14ac:dyDescent="0.25">
      <c r="A50" t="str">
        <f>'0_Entrada'!A50</f>
        <v>PROVINCIA_COTOPAXI</v>
      </c>
      <c r="B50" t="b">
        <f>'0_Entrada'!B50</f>
        <v>0</v>
      </c>
      <c r="C50">
        <f>Scaler!B50</f>
        <v>4.9298637934539541E-3</v>
      </c>
      <c r="D50">
        <f>Scaler!C50</f>
        <v>7.0039704714054477E-2</v>
      </c>
      <c r="E50">
        <f t="shared" si="0"/>
        <v>-7.0386701565643611E-2</v>
      </c>
    </row>
    <row r="51" spans="1:5" x14ac:dyDescent="0.25">
      <c r="A51" t="str">
        <f>'0_Entrada'!A51</f>
        <v>PROVINCIA_EL ORO</v>
      </c>
      <c r="B51" t="b">
        <f>'0_Entrada'!B51</f>
        <v>0</v>
      </c>
      <c r="C51">
        <f>Scaler!B51</f>
        <v>2.0532628583045331E-2</v>
      </c>
      <c r="D51">
        <f>Scaler!C51</f>
        <v>0.14181339762700859</v>
      </c>
      <c r="E51">
        <f t="shared" si="0"/>
        <v>-0.14478623971092883</v>
      </c>
    </row>
    <row r="52" spans="1:5" x14ac:dyDescent="0.25">
      <c r="A52" t="str">
        <f>'0_Entrada'!A52</f>
        <v>PROVINCIA_ESMERALDAS</v>
      </c>
      <c r="B52" t="b">
        <f>'0_Entrada'!B52</f>
        <v>0</v>
      </c>
      <c r="C52">
        <f>Scaler!B52</f>
        <v>7.3693840211425084E-3</v>
      </c>
      <c r="D52">
        <f>Scaler!C52</f>
        <v>8.552821873680895E-2</v>
      </c>
      <c r="E52">
        <f t="shared" si="0"/>
        <v>-8.6163188360322204E-2</v>
      </c>
    </row>
    <row r="53" spans="1:5" x14ac:dyDescent="0.25">
      <c r="A53" t="str">
        <f>'0_Entrada'!A53</f>
        <v>PROVINCIA_GALÁPAGOS</v>
      </c>
      <c r="B53" t="b">
        <f>'0_Entrada'!B53</f>
        <v>0</v>
      </c>
      <c r="C53">
        <f>Scaler!B53</f>
        <v>2.5411669038422438E-4</v>
      </c>
      <c r="D53">
        <f>Scaler!C53</f>
        <v>1.5939012362498891E-2</v>
      </c>
      <c r="E53">
        <f t="shared" si="0"/>
        <v>-1.594306376109645E-2</v>
      </c>
    </row>
    <row r="54" spans="1:5" x14ac:dyDescent="0.25">
      <c r="A54" t="str">
        <f>'0_Entrada'!A54</f>
        <v>PROVINCIA_GUAYAS</v>
      </c>
      <c r="B54" t="b">
        <f>'0_Entrada'!B54</f>
        <v>0</v>
      </c>
      <c r="C54">
        <f>Scaler!B54</f>
        <v>0.37756657857288067</v>
      </c>
      <c r="D54">
        <f>Scaler!C54</f>
        <v>0.48477835896175209</v>
      </c>
      <c r="E54">
        <f t="shared" si="0"/>
        <v>-0.77884371608813874</v>
      </c>
    </row>
    <row r="55" spans="1:5" x14ac:dyDescent="0.25">
      <c r="A55" t="str">
        <f>'0_Entrada'!A55</f>
        <v>PROVINCIA_IMBABURA</v>
      </c>
      <c r="B55" t="b">
        <f>'0_Entrada'!B55</f>
        <v>0</v>
      </c>
      <c r="C55">
        <f>Scaler!B55</f>
        <v>1.595852815612929E-2</v>
      </c>
      <c r="D55">
        <f>Scaler!C55</f>
        <v>0.12531501719753829</v>
      </c>
      <c r="E55">
        <f t="shared" si="0"/>
        <v>-0.12734729255132546</v>
      </c>
    </row>
    <row r="56" spans="1:5" x14ac:dyDescent="0.25">
      <c r="A56" t="str">
        <f>'0_Entrada'!A56</f>
        <v>PROVINCIA_LOJA</v>
      </c>
      <c r="B56" t="b">
        <f>'0_Entrada'!B56</f>
        <v>0</v>
      </c>
      <c r="C56">
        <f>Scaler!B56</f>
        <v>2.510672900996137E-2</v>
      </c>
      <c r="D56">
        <f>Scaler!C56</f>
        <v>0.1564492926426379</v>
      </c>
      <c r="E56">
        <f t="shared" si="0"/>
        <v>-0.16047837983716717</v>
      </c>
    </row>
    <row r="57" spans="1:5" x14ac:dyDescent="0.25">
      <c r="A57" t="str">
        <f>'0_Entrada'!A57</f>
        <v>PROVINCIA_LOS RÍOS</v>
      </c>
      <c r="B57" t="b">
        <f>'0_Entrada'!B57</f>
        <v>0</v>
      </c>
      <c r="C57">
        <f>Scaler!B57</f>
        <v>3.9235616995324248E-2</v>
      </c>
      <c r="D57">
        <f>Scaler!C57</f>
        <v>0.1941550497780587</v>
      </c>
      <c r="E57">
        <f t="shared" si="0"/>
        <v>-0.20208393776095457</v>
      </c>
    </row>
    <row r="58" spans="1:5" x14ac:dyDescent="0.25">
      <c r="A58" t="str">
        <f>'0_Entrada'!A58</f>
        <v>PROVINCIA_MANABÍ</v>
      </c>
      <c r="B58" t="b">
        <f>'0_Entrada'!B58</f>
        <v>0</v>
      </c>
      <c r="C58">
        <f>Scaler!B58</f>
        <v>7.0695263264891242E-2</v>
      </c>
      <c r="D58">
        <f>Scaler!C58</f>
        <v>0.25631512444020732</v>
      </c>
      <c r="E58">
        <f t="shared" si="0"/>
        <v>-0.27581385772411915</v>
      </c>
    </row>
    <row r="59" spans="1:5" x14ac:dyDescent="0.25">
      <c r="A59" t="str">
        <f>'0_Entrada'!A59</f>
        <v>PROVINCIA_MORONA SANTIAGO</v>
      </c>
      <c r="B59" t="b">
        <f>'0_Entrada'!B59</f>
        <v>0</v>
      </c>
      <c r="C59">
        <f>Scaler!B59</f>
        <v>5.6922138646066274E-3</v>
      </c>
      <c r="D59">
        <f>Scaler!C59</f>
        <v>7.5231725793884374E-2</v>
      </c>
      <c r="E59">
        <f t="shared" si="0"/>
        <v>-7.5662412426930531E-2</v>
      </c>
    </row>
    <row r="60" spans="1:5" x14ac:dyDescent="0.25">
      <c r="A60" t="str">
        <f>'0_Entrada'!A60</f>
        <v>PROVINCIA_NAPO</v>
      </c>
      <c r="B60" t="b">
        <f>'0_Entrada'!B60</f>
        <v>0</v>
      </c>
      <c r="C60">
        <f>Scaler!B60</f>
        <v>2.4395202276885548E-3</v>
      </c>
      <c r="D60">
        <f>Scaler!C60</f>
        <v>4.9331216980196761E-2</v>
      </c>
      <c r="E60">
        <f t="shared" si="0"/>
        <v>-4.945185578267533E-2</v>
      </c>
    </row>
    <row r="61" spans="1:5" x14ac:dyDescent="0.25">
      <c r="A61" t="str">
        <f>'0_Entrada'!A61</f>
        <v>PROVINCIA_ORELLANA</v>
      </c>
      <c r="B61" t="b">
        <f>'0_Entrada'!B61</f>
        <v>0</v>
      </c>
      <c r="C61">
        <f>Scaler!B61</f>
        <v>3.2018702988412281E-3</v>
      </c>
      <c r="D61">
        <f>Scaler!C61</f>
        <v>5.6494409682999847E-2</v>
      </c>
      <c r="E61">
        <f t="shared" si="0"/>
        <v>-5.6675878495013758E-2</v>
      </c>
    </row>
    <row r="62" spans="1:5" x14ac:dyDescent="0.25">
      <c r="A62" t="str">
        <f>'0_Entrada'!A62</f>
        <v>PROVINCIA_PASTAZA</v>
      </c>
      <c r="B62" t="b">
        <f>'0_Entrada'!B62</f>
        <v>0</v>
      </c>
      <c r="C62">
        <f>Scaler!B62</f>
        <v>1.2705834519211221E-3</v>
      </c>
      <c r="D62">
        <f>Scaler!C62</f>
        <v>3.562259212371871E-2</v>
      </c>
      <c r="E62">
        <f t="shared" si="0"/>
        <v>-3.566791118143043E-2</v>
      </c>
    </row>
    <row r="63" spans="1:5" x14ac:dyDescent="0.25">
      <c r="A63" t="str">
        <f>'0_Entrada'!A63</f>
        <v>PROVINCIA_PICHINCHA</v>
      </c>
      <c r="B63" t="b">
        <f>'0_Entrada'!B63</f>
        <v>1</v>
      </c>
      <c r="C63">
        <f>Scaler!B63</f>
        <v>0.20059971538930679</v>
      </c>
      <c r="D63">
        <f>Scaler!C63</f>
        <v>0.40044908487226683</v>
      </c>
      <c r="E63">
        <f t="shared" si="0"/>
        <v>1.9962594866852594</v>
      </c>
    </row>
    <row r="64" spans="1:5" x14ac:dyDescent="0.25">
      <c r="A64" t="str">
        <f>'0_Entrada'!A64</f>
        <v>PROVINCIA_SANTA ELENA</v>
      </c>
      <c r="B64" t="b">
        <f>'0_Entrada'!B64</f>
        <v>0</v>
      </c>
      <c r="C64">
        <f>Scaler!B64</f>
        <v>2.5564139052652979E-2</v>
      </c>
      <c r="D64">
        <f>Scaler!C64</f>
        <v>0.1578309660591026</v>
      </c>
      <c r="E64">
        <f t="shared" si="0"/>
        <v>-0.16197163136592621</v>
      </c>
    </row>
    <row r="65" spans="1:5" x14ac:dyDescent="0.25">
      <c r="A65" t="str">
        <f>'0_Entrada'!A65</f>
        <v>PROVINCIA_SANTO DOMINGO DE LOS TSÁCHILAS</v>
      </c>
      <c r="B65" t="b">
        <f>'0_Entrada'!B65</f>
        <v>0</v>
      </c>
      <c r="C65">
        <f>Scaler!B65</f>
        <v>4.9298637934539542E-2</v>
      </c>
      <c r="D65">
        <f>Scaler!C65</f>
        <v>0.21649083637036171</v>
      </c>
      <c r="E65">
        <f t="shared" si="0"/>
        <v>-0.22771697297248136</v>
      </c>
    </row>
    <row r="66" spans="1:5" x14ac:dyDescent="0.25">
      <c r="A66" t="str">
        <f>'0_Entrada'!A66</f>
        <v>PROVINCIA_SUCUMBÍOS</v>
      </c>
      <c r="B66" t="b">
        <f>'0_Entrada'!B66</f>
        <v>0</v>
      </c>
      <c r="C66">
        <f>Scaler!B66</f>
        <v>2.947753608457004E-3</v>
      </c>
      <c r="D66">
        <f>Scaler!C66</f>
        <v>5.4213138233465429E-2</v>
      </c>
      <c r="E66">
        <f t="shared" si="0"/>
        <v>-5.4373417671611093E-2</v>
      </c>
    </row>
    <row r="67" spans="1:5" x14ac:dyDescent="0.25">
      <c r="A67" t="str">
        <f>'0_Entrada'!A67</f>
        <v>PROVINCIA_TUNGURAHUA</v>
      </c>
      <c r="B67" t="b">
        <f>'0_Entrada'!B67</f>
        <v>0</v>
      </c>
      <c r="C67">
        <f>Scaler!B67</f>
        <v>5.6464728603374668E-2</v>
      </c>
      <c r="D67">
        <f>Scaler!C67</f>
        <v>0.2308169470102269</v>
      </c>
      <c r="E67">
        <f t="shared" ref="E67:E130" si="1">(--B67-C67)/D67</f>
        <v>-0.24462990839608004</v>
      </c>
    </row>
    <row r="68" spans="1:5" x14ac:dyDescent="0.25">
      <c r="A68" t="str">
        <f>'0_Entrada'!A68</f>
        <v>PROVINCIA_ZAMORA CHINCHIPE</v>
      </c>
      <c r="B68" t="b">
        <f>'0_Entrada'!B68</f>
        <v>0</v>
      </c>
      <c r="C68">
        <f>Scaler!B68</f>
        <v>2.5919902419190891E-3</v>
      </c>
      <c r="D68">
        <f>Scaler!C68</f>
        <v>5.0845568425428027E-2</v>
      </c>
      <c r="E68">
        <f t="shared" si="1"/>
        <v>-5.0977702131909428E-2</v>
      </c>
    </row>
    <row r="69" spans="1:5" x14ac:dyDescent="0.25">
      <c r="A69" t="str">
        <f>'0_Entrada'!A69</f>
        <v>CANTON_24 DE MAYO</v>
      </c>
      <c r="B69" t="b">
        <f>'0_Entrada'!B69</f>
        <v>0</v>
      </c>
      <c r="C69">
        <f>Scaler!B69</f>
        <v>2.5411669038422438E-4</v>
      </c>
      <c r="D69">
        <f>Scaler!C69</f>
        <v>1.5939012362498891E-2</v>
      </c>
      <c r="E69">
        <f t="shared" si="1"/>
        <v>-1.594306376109645E-2</v>
      </c>
    </row>
    <row r="70" spans="1:5" x14ac:dyDescent="0.25">
      <c r="A70" t="str">
        <f>'0_Entrada'!A70</f>
        <v>CANTON_ALAUSI</v>
      </c>
      <c r="B70" t="b">
        <f>'0_Entrada'!B70</f>
        <v>0</v>
      </c>
      <c r="C70">
        <f>Scaler!B70</f>
        <v>9.1482008538320799E-4</v>
      </c>
      <c r="D70">
        <f>Scaler!C70</f>
        <v>3.0232154894988681E-2</v>
      </c>
      <c r="E70">
        <f t="shared" si="1"/>
        <v>-3.025983720184133E-2</v>
      </c>
    </row>
    <row r="71" spans="1:5" x14ac:dyDescent="0.25">
      <c r="A71" t="str">
        <f>'0_Entrada'!A71</f>
        <v>CANTON_ALFREDO BAQUERIZO MORENO</v>
      </c>
      <c r="B71" t="b">
        <f>'0_Entrada'!B71</f>
        <v>0</v>
      </c>
      <c r="C71">
        <f>Scaler!B71</f>
        <v>1.829640170766416E-3</v>
      </c>
      <c r="D71">
        <f>Scaler!C71</f>
        <v>4.2735144642459477E-2</v>
      </c>
      <c r="E71">
        <f t="shared" si="1"/>
        <v>-4.2813477901478263E-2</v>
      </c>
    </row>
    <row r="72" spans="1:5" x14ac:dyDescent="0.25">
      <c r="A72" t="str">
        <f>'0_Entrada'!A72</f>
        <v>CANTON_AMBATO</v>
      </c>
      <c r="B72" t="b">
        <f>'0_Entrada'!B72</f>
        <v>0</v>
      </c>
      <c r="C72">
        <f>Scaler!B72</f>
        <v>4.8180524496848953E-2</v>
      </c>
      <c r="D72">
        <f>Scaler!C72</f>
        <v>0.21414752288097449</v>
      </c>
      <c r="E72">
        <f t="shared" si="1"/>
        <v>-0.22498754059195075</v>
      </c>
    </row>
    <row r="73" spans="1:5" x14ac:dyDescent="0.25">
      <c r="A73" t="str">
        <f>'0_Entrada'!A73</f>
        <v>CANTON_ANTONIO ANTE</v>
      </c>
      <c r="B73" t="b">
        <f>'0_Entrada'!B73</f>
        <v>0</v>
      </c>
      <c r="C73">
        <f>Scaler!B73</f>
        <v>1.118113437690588E-3</v>
      </c>
      <c r="D73">
        <f>Scaler!C73</f>
        <v>3.3419504185894837E-2</v>
      </c>
      <c r="E73">
        <f t="shared" si="1"/>
        <v>-3.3456912809691028E-2</v>
      </c>
    </row>
    <row r="74" spans="1:5" x14ac:dyDescent="0.25">
      <c r="A74" t="str">
        <f>'0_Entrada'!A74</f>
        <v>CANTON_ARAJUNO</v>
      </c>
      <c r="B74" t="b">
        <f>'0_Entrada'!B74</f>
        <v>0</v>
      </c>
      <c r="C74">
        <f>Scaler!B74</f>
        <v>1.016466761536898E-4</v>
      </c>
      <c r="D74">
        <f>Scaler!C74</f>
        <v>1.008148521334613E-2</v>
      </c>
      <c r="E74">
        <f t="shared" si="1"/>
        <v>-1.0082510066981729E-2</v>
      </c>
    </row>
    <row r="75" spans="1:5" x14ac:dyDescent="0.25">
      <c r="A75" t="str">
        <f>'0_Entrada'!A75</f>
        <v>CANTON_ARENILLAS</v>
      </c>
      <c r="B75" t="b">
        <f>'0_Entrada'!B75</f>
        <v>0</v>
      </c>
      <c r="C75">
        <f>Scaler!B75</f>
        <v>1.118113437690588E-3</v>
      </c>
      <c r="D75">
        <f>Scaler!C75</f>
        <v>3.3419504185894837E-2</v>
      </c>
      <c r="E75">
        <f t="shared" si="1"/>
        <v>-3.3456912809691028E-2</v>
      </c>
    </row>
    <row r="76" spans="1:5" x14ac:dyDescent="0.25">
      <c r="A76" t="str">
        <f>'0_Entrada'!A76</f>
        <v>CANTON_ATACAMES</v>
      </c>
      <c r="B76" t="b">
        <f>'0_Entrada'!B76</f>
        <v>0</v>
      </c>
      <c r="C76">
        <f>Scaler!B76</f>
        <v>6.6070339499898351E-4</v>
      </c>
      <c r="D76">
        <f>Scaler!C76</f>
        <v>2.5695658505335499E-2</v>
      </c>
      <c r="E76">
        <f t="shared" si="1"/>
        <v>-2.571264693846214E-2</v>
      </c>
    </row>
    <row r="77" spans="1:5" x14ac:dyDescent="0.25">
      <c r="A77" t="str">
        <f>'0_Entrada'!A77</f>
        <v>CANTON_ATAHUALPA</v>
      </c>
      <c r="B77" t="b">
        <f>'0_Entrada'!B77</f>
        <v>0</v>
      </c>
      <c r="C77">
        <f>Scaler!B77</f>
        <v>1.016466761536898E-4</v>
      </c>
      <c r="D77">
        <f>Scaler!C77</f>
        <v>1.008148521334613E-2</v>
      </c>
      <c r="E77">
        <f t="shared" si="1"/>
        <v>-1.0082510066981729E-2</v>
      </c>
    </row>
    <row r="78" spans="1:5" x14ac:dyDescent="0.25">
      <c r="A78" t="str">
        <f>'0_Entrada'!A78</f>
        <v>CANTON_AZOGUES</v>
      </c>
      <c r="B78" t="b">
        <f>'0_Entrada'!B78</f>
        <v>0</v>
      </c>
      <c r="C78">
        <f>Scaler!B78</f>
        <v>7.6235007115267334E-4</v>
      </c>
      <c r="D78">
        <f>Scaler!C78</f>
        <v>2.7600161114053071E-2</v>
      </c>
      <c r="E78">
        <f t="shared" si="1"/>
        <v>-2.762121815167631E-2</v>
      </c>
    </row>
    <row r="79" spans="1:5" x14ac:dyDescent="0.25">
      <c r="A79" t="str">
        <f>'0_Entrada'!A79</f>
        <v>CANTON_BABA</v>
      </c>
      <c r="B79" t="b">
        <f>'0_Entrada'!B79</f>
        <v>0</v>
      </c>
      <c r="C79">
        <f>Scaler!B79</f>
        <v>1.321406789997967E-3</v>
      </c>
      <c r="D79">
        <f>Scaler!C79</f>
        <v>3.6327134129921598E-2</v>
      </c>
      <c r="E79">
        <f t="shared" si="1"/>
        <v>-3.6375200566938277E-2</v>
      </c>
    </row>
    <row r="80" spans="1:5" x14ac:dyDescent="0.25">
      <c r="A80" t="str">
        <f>'0_Entrada'!A80</f>
        <v>CANTON_BABAHOYO</v>
      </c>
      <c r="B80" t="b">
        <f>'0_Entrada'!B80</f>
        <v>0</v>
      </c>
      <c r="C80">
        <f>Scaler!B80</f>
        <v>1.697499491766619E-2</v>
      </c>
      <c r="D80">
        <f>Scaler!C80</f>
        <v>0.12917756951271139</v>
      </c>
      <c r="E80">
        <f t="shared" si="1"/>
        <v>-0.13140822343770608</v>
      </c>
    </row>
    <row r="81" spans="1:5" x14ac:dyDescent="0.25">
      <c r="A81" t="str">
        <f>'0_Entrada'!A81</f>
        <v>CANTON_BALAO</v>
      </c>
      <c r="B81" t="b">
        <f>'0_Entrada'!B81</f>
        <v>0</v>
      </c>
      <c r="C81">
        <f>Scaler!B81</f>
        <v>2.7952835942264692E-3</v>
      </c>
      <c r="D81">
        <f>Scaler!C81</f>
        <v>5.2796495942953617E-2</v>
      </c>
      <c r="E81">
        <f t="shared" si="1"/>
        <v>-5.2944490809518137E-2</v>
      </c>
    </row>
    <row r="82" spans="1:5" x14ac:dyDescent="0.25">
      <c r="A82" t="str">
        <f>'0_Entrada'!A82</f>
        <v>CANTON_BALSAS</v>
      </c>
      <c r="B82" t="b">
        <f>'0_Entrada'!B82</f>
        <v>0</v>
      </c>
      <c r="C82">
        <f>Scaler!B82</f>
        <v>6.6070339499898351E-4</v>
      </c>
      <c r="D82">
        <f>Scaler!C82</f>
        <v>2.5695658505335499E-2</v>
      </c>
      <c r="E82">
        <f t="shared" si="1"/>
        <v>-2.571264693846214E-2</v>
      </c>
    </row>
    <row r="83" spans="1:5" x14ac:dyDescent="0.25">
      <c r="A83" t="str">
        <f>'0_Entrada'!A83</f>
        <v>CANTON_BALZAR</v>
      </c>
      <c r="B83" t="b">
        <f>'0_Entrada'!B83</f>
        <v>0</v>
      </c>
      <c r="C83">
        <f>Scaler!B83</f>
        <v>3.5576336653791421E-3</v>
      </c>
      <c r="D83">
        <f>Scaler!C83</f>
        <v>5.9539708666419437E-2</v>
      </c>
      <c r="E83">
        <f t="shared" si="1"/>
        <v>-5.9752285408572338E-2</v>
      </c>
    </row>
    <row r="84" spans="1:5" x14ac:dyDescent="0.25">
      <c r="A84" t="str">
        <f>'0_Entrada'!A84</f>
        <v>CANTON_BAÑOS DE AGUA SANTA</v>
      </c>
      <c r="B84" t="b">
        <f>'0_Entrada'!B84</f>
        <v>0</v>
      </c>
      <c r="C84">
        <f>Scaler!B84</f>
        <v>1.7279934946127259E-3</v>
      </c>
      <c r="D84">
        <f>Scaler!C84</f>
        <v>4.1533210002301792E-2</v>
      </c>
      <c r="E84">
        <f t="shared" si="1"/>
        <v>-4.1605103350233694E-2</v>
      </c>
    </row>
    <row r="85" spans="1:5" x14ac:dyDescent="0.25">
      <c r="A85" t="str">
        <f>'0_Entrada'!A85</f>
        <v>CANTON_BOLIVAR</v>
      </c>
      <c r="B85" t="b">
        <f>'0_Entrada'!B85</f>
        <v>0</v>
      </c>
      <c r="C85">
        <f>Scaler!B85</f>
        <v>6.6070339499898351E-4</v>
      </c>
      <c r="D85">
        <f>Scaler!C85</f>
        <v>2.5695658505335499E-2</v>
      </c>
      <c r="E85">
        <f t="shared" si="1"/>
        <v>-2.571264693846214E-2</v>
      </c>
    </row>
    <row r="86" spans="1:5" x14ac:dyDescent="0.25">
      <c r="A86" t="str">
        <f>'0_Entrada'!A86</f>
        <v>CANTON_BUENA FE</v>
      </c>
      <c r="B86" t="b">
        <f>'0_Entrada'!B86</f>
        <v>0</v>
      </c>
      <c r="C86">
        <f>Scaler!B86</f>
        <v>4.3708070746086604E-3</v>
      </c>
      <c r="D86">
        <f>Scaler!C86</f>
        <v>6.5967439848194892E-2</v>
      </c>
      <c r="E86">
        <f t="shared" si="1"/>
        <v>-6.6257036572388087E-2</v>
      </c>
    </row>
    <row r="87" spans="1:5" x14ac:dyDescent="0.25">
      <c r="A87" t="str">
        <f>'0_Entrada'!A87</f>
        <v>CANTON_CALUMA</v>
      </c>
      <c r="B87" t="b">
        <f>'0_Entrada'!B87</f>
        <v>0</v>
      </c>
      <c r="C87">
        <f>Scaler!B87</f>
        <v>5.0823338076844878E-5</v>
      </c>
      <c r="D87">
        <f>Scaler!C87</f>
        <v>7.1288677267257261E-3</v>
      </c>
      <c r="E87">
        <f t="shared" si="1"/>
        <v>-7.1292300579951888E-3</v>
      </c>
    </row>
    <row r="88" spans="1:5" x14ac:dyDescent="0.25">
      <c r="A88" t="str">
        <f>'0_Entrada'!A88</f>
        <v>CANTON_CALVAS</v>
      </c>
      <c r="B88" t="b">
        <f>'0_Entrada'!B88</f>
        <v>0</v>
      </c>
      <c r="C88">
        <f>Scaler!B88</f>
        <v>6.6070339499898351E-4</v>
      </c>
      <c r="D88">
        <f>Scaler!C88</f>
        <v>2.5695658505335499E-2</v>
      </c>
      <c r="E88">
        <f t="shared" si="1"/>
        <v>-2.571264693846214E-2</v>
      </c>
    </row>
    <row r="89" spans="1:5" x14ac:dyDescent="0.25">
      <c r="A89" t="str">
        <f>'0_Entrada'!A89</f>
        <v>CANTON_CAMILO PONCE ENRIQUEZ</v>
      </c>
      <c r="B89" t="b">
        <f>'0_Entrada'!B89</f>
        <v>0</v>
      </c>
      <c r="C89">
        <f>Scaler!B89</f>
        <v>1.5247001423053469E-3</v>
      </c>
      <c r="D89">
        <f>Scaler!C89</f>
        <v>3.901762975606541E-2</v>
      </c>
      <c r="E89">
        <f t="shared" si="1"/>
        <v>-3.9077210784910062E-2</v>
      </c>
    </row>
    <row r="90" spans="1:5" x14ac:dyDescent="0.25">
      <c r="A90" t="str">
        <f>'0_Entrada'!A90</f>
        <v>CANTON_CATAMAYO</v>
      </c>
      <c r="B90" t="b">
        <f>'0_Entrada'!B90</f>
        <v>0</v>
      </c>
      <c r="C90">
        <f>Scaler!B90</f>
        <v>1.0164667615368979E-3</v>
      </c>
      <c r="D90">
        <f>Scaler!C90</f>
        <v>3.186586821129448E-2</v>
      </c>
      <c r="E90">
        <f t="shared" si="1"/>
        <v>-3.1898291764623041E-2</v>
      </c>
    </row>
    <row r="91" spans="1:5" x14ac:dyDescent="0.25">
      <c r="A91" t="str">
        <f>'0_Entrada'!A91</f>
        <v>CANTON_CAYAMBE</v>
      </c>
      <c r="B91" t="b">
        <f>'0_Entrada'!B91</f>
        <v>0</v>
      </c>
      <c r="C91">
        <f>Scaler!B91</f>
        <v>2.998576946533848E-3</v>
      </c>
      <c r="D91">
        <f>Scaler!C91</f>
        <v>5.4677101997358667E-2</v>
      </c>
      <c r="E91">
        <f t="shared" si="1"/>
        <v>-5.4841548600704969E-2</v>
      </c>
    </row>
    <row r="92" spans="1:5" x14ac:dyDescent="0.25">
      <c r="A92" t="str">
        <f>'0_Entrada'!A92</f>
        <v>CANTON_CAÑAR</v>
      </c>
      <c r="B92" t="b">
        <f>'0_Entrada'!B92</f>
        <v>0</v>
      </c>
      <c r="C92">
        <f>Scaler!B92</f>
        <v>1.473876804228502E-3</v>
      </c>
      <c r="D92">
        <f>Scaler!C92</f>
        <v>3.8362800880468298E-2</v>
      </c>
      <c r="E92">
        <f t="shared" si="1"/>
        <v>-3.8419426381844264E-2</v>
      </c>
    </row>
    <row r="93" spans="1:5" x14ac:dyDescent="0.25">
      <c r="A93" t="str">
        <f>'0_Entrada'!A93</f>
        <v>CANTON_CHILLANES</v>
      </c>
      <c r="B93" t="b">
        <f>'0_Entrada'!B93</f>
        <v>0</v>
      </c>
      <c r="C93">
        <f>Scaler!B93</f>
        <v>3.0494002846106929E-4</v>
      </c>
      <c r="D93">
        <f>Scaler!C93</f>
        <v>1.7459869416467912E-2</v>
      </c>
      <c r="E93">
        <f t="shared" si="1"/>
        <v>-1.7465195253605618E-2</v>
      </c>
    </row>
    <row r="94" spans="1:5" x14ac:dyDescent="0.25">
      <c r="A94" t="str">
        <f>'0_Entrada'!A94</f>
        <v>CANTON_CHINCHIPE</v>
      </c>
      <c r="B94" t="b">
        <f>'0_Entrada'!B94</f>
        <v>0</v>
      </c>
      <c r="C94">
        <f>Scaler!B94</f>
        <v>2.5411669038422438E-4</v>
      </c>
      <c r="D94">
        <f>Scaler!C94</f>
        <v>1.5939012362498891E-2</v>
      </c>
      <c r="E94">
        <f t="shared" si="1"/>
        <v>-1.594306376109645E-2</v>
      </c>
    </row>
    <row r="95" spans="1:5" x14ac:dyDescent="0.25">
      <c r="A95" t="str">
        <f>'0_Entrada'!A95</f>
        <v>CANTON_CHONE</v>
      </c>
      <c r="B95" t="b">
        <f>'0_Entrada'!B95</f>
        <v>0</v>
      </c>
      <c r="C95">
        <f>Scaler!B95</f>
        <v>3.659280341532832E-3</v>
      </c>
      <c r="D95">
        <f>Scaler!C95</f>
        <v>6.0381205759034849E-2</v>
      </c>
      <c r="E95">
        <f t="shared" si="1"/>
        <v>-6.0602969012179646E-2</v>
      </c>
    </row>
    <row r="96" spans="1:5" x14ac:dyDescent="0.25">
      <c r="A96" t="str">
        <f>'0_Entrada'!A96</f>
        <v>CANTON_CHORDELEG</v>
      </c>
      <c r="B96" t="b">
        <f>'0_Entrada'!B96</f>
        <v>0</v>
      </c>
      <c r="C96">
        <f>Scaler!B96</f>
        <v>5.0823338076844878E-5</v>
      </c>
      <c r="D96">
        <f>Scaler!C96</f>
        <v>7.1288677267257261E-3</v>
      </c>
      <c r="E96">
        <f t="shared" si="1"/>
        <v>-7.1292300579951888E-3</v>
      </c>
    </row>
    <row r="97" spans="1:5" x14ac:dyDescent="0.25">
      <c r="A97" t="str">
        <f>'0_Entrada'!A97</f>
        <v>CANTON_COLIMES</v>
      </c>
      <c r="B97" t="b">
        <f>'0_Entrada'!B97</f>
        <v>0</v>
      </c>
      <c r="C97">
        <f>Scaler!B97</f>
        <v>1.219760113844277E-3</v>
      </c>
      <c r="D97">
        <f>Scaler!C97</f>
        <v>3.4903757664597537E-2</v>
      </c>
      <c r="E97">
        <f t="shared" si="1"/>
        <v>-3.4946383869764973E-2</v>
      </c>
    </row>
    <row r="98" spans="1:5" x14ac:dyDescent="0.25">
      <c r="A98" t="str">
        <f>'0_Entrada'!A98</f>
        <v>CANTON_COLTA</v>
      </c>
      <c r="B98" t="b">
        <f>'0_Entrada'!B98</f>
        <v>0</v>
      </c>
      <c r="C98">
        <f>Scaler!B98</f>
        <v>1.982110184996951E-3</v>
      </c>
      <c r="D98">
        <f>Scaler!C98</f>
        <v>4.4476751502458917E-2</v>
      </c>
      <c r="E98">
        <f t="shared" si="1"/>
        <v>-4.4565084410163568E-2</v>
      </c>
    </row>
    <row r="99" spans="1:5" x14ac:dyDescent="0.25">
      <c r="A99" t="str">
        <f>'0_Entrada'!A99</f>
        <v>CANTON_CORONEL MARCELINO MARIDUEÑA</v>
      </c>
      <c r="B99" t="b">
        <f>'0_Entrada'!B99</f>
        <v>0</v>
      </c>
      <c r="C99">
        <f>Scaler!B99</f>
        <v>4.57410042691604E-4</v>
      </c>
      <c r="D99">
        <f>Scaler!C99</f>
        <v>2.1382254762874021E-2</v>
      </c>
      <c r="E99">
        <f t="shared" si="1"/>
        <v>-2.1392039696664939E-2</v>
      </c>
    </row>
    <row r="100" spans="1:5" x14ac:dyDescent="0.25">
      <c r="A100" t="str">
        <f>'0_Entrada'!A100</f>
        <v>CANTON_COTACACHI</v>
      </c>
      <c r="B100" t="b">
        <f>'0_Entrada'!B100</f>
        <v>0</v>
      </c>
      <c r="C100">
        <f>Scaler!B100</f>
        <v>1.168936775767432E-3</v>
      </c>
      <c r="D100">
        <f>Scaler!C100</f>
        <v>3.4169728746094703E-2</v>
      </c>
      <c r="E100">
        <f t="shared" si="1"/>
        <v>-3.4209717743253411E-2</v>
      </c>
    </row>
    <row r="101" spans="1:5" x14ac:dyDescent="0.25">
      <c r="A101" t="str">
        <f>'0_Entrada'!A101</f>
        <v>CANTON_CUENCA</v>
      </c>
      <c r="B101" t="b">
        <f>'0_Entrada'!B101</f>
        <v>0</v>
      </c>
      <c r="C101">
        <f>Scaler!B101</f>
        <v>4.2132547265704409E-2</v>
      </c>
      <c r="D101">
        <f>Scaler!C101</f>
        <v>0.20089150237530601</v>
      </c>
      <c r="E101">
        <f t="shared" si="1"/>
        <v>-0.20972787184891614</v>
      </c>
    </row>
    <row r="102" spans="1:5" x14ac:dyDescent="0.25">
      <c r="A102" t="str">
        <f>'0_Entrada'!A102</f>
        <v>CANTON_CUMANDA</v>
      </c>
      <c r="B102" t="b">
        <f>'0_Entrada'!B102</f>
        <v>0</v>
      </c>
      <c r="C102">
        <f>Scaler!B102</f>
        <v>2.5411669038422438E-4</v>
      </c>
      <c r="D102">
        <f>Scaler!C102</f>
        <v>1.5939012362498891E-2</v>
      </c>
      <c r="E102">
        <f t="shared" si="1"/>
        <v>-1.594306376109645E-2</v>
      </c>
    </row>
    <row r="103" spans="1:5" x14ac:dyDescent="0.25">
      <c r="A103" t="str">
        <f>'0_Entrada'!A103</f>
        <v>CANTON_DAULE</v>
      </c>
      <c r="B103" t="b">
        <f>'0_Entrada'!B103</f>
        <v>0</v>
      </c>
      <c r="C103">
        <f>Scaler!B103</f>
        <v>1.7584874974588331E-2</v>
      </c>
      <c r="D103">
        <f>Scaler!C103</f>
        <v>0.13143685612002601</v>
      </c>
      <c r="E103">
        <f t="shared" si="1"/>
        <v>-0.13378952824716156</v>
      </c>
    </row>
    <row r="104" spans="1:5" x14ac:dyDescent="0.25">
      <c r="A104" t="str">
        <f>'0_Entrada'!A104</f>
        <v>CANTON_DISTRITO METROPOLITANO DE QUITO</v>
      </c>
      <c r="B104" t="b">
        <f>'0_Entrada'!B104</f>
        <v>1</v>
      </c>
      <c r="C104">
        <f>Scaler!B104</f>
        <v>0.1904350477739378</v>
      </c>
      <c r="D104">
        <f>Scaler!C104</f>
        <v>0.39264429239870002</v>
      </c>
      <c r="E104">
        <f t="shared" si="1"/>
        <v>2.0618278882404111</v>
      </c>
    </row>
    <row r="105" spans="1:5" x14ac:dyDescent="0.25">
      <c r="A105" t="str">
        <f>'0_Entrada'!A105</f>
        <v>CANTON_DURAN</v>
      </c>
      <c r="B105" t="b">
        <f>'0_Entrada'!B105</f>
        <v>0</v>
      </c>
      <c r="C105">
        <f>Scaler!B105</f>
        <v>2.378532221996341E-2</v>
      </c>
      <c r="D105">
        <f>Scaler!C105</f>
        <v>0.15237972524865609</v>
      </c>
      <c r="E105">
        <f t="shared" si="1"/>
        <v>-0.15609243408957507</v>
      </c>
    </row>
    <row r="106" spans="1:5" x14ac:dyDescent="0.25">
      <c r="A106" t="str">
        <f>'0_Entrada'!A106</f>
        <v>CANTON_ECHEANDIA</v>
      </c>
      <c r="B106" t="b">
        <f>'0_Entrada'!B106</f>
        <v>0</v>
      </c>
      <c r="C106">
        <f>Scaler!B106</f>
        <v>3.5576336653791421E-4</v>
      </c>
      <c r="D106">
        <f>Scaler!C106</f>
        <v>1.885833499980695E-2</v>
      </c>
      <c r="E106">
        <f t="shared" si="1"/>
        <v>-1.886504649225693E-2</v>
      </c>
    </row>
    <row r="107" spans="1:5" x14ac:dyDescent="0.25">
      <c r="A107" t="str">
        <f>'0_Entrada'!A107</f>
        <v>CANTON_EL CARMEN</v>
      </c>
      <c r="B107" t="b">
        <f>'0_Entrada'!B107</f>
        <v>0</v>
      </c>
      <c r="C107">
        <f>Scaler!B107</f>
        <v>4.57410042691604E-4</v>
      </c>
      <c r="D107">
        <f>Scaler!C107</f>
        <v>2.1382254762874031E-2</v>
      </c>
      <c r="E107">
        <f t="shared" si="1"/>
        <v>-2.1392039696664929E-2</v>
      </c>
    </row>
    <row r="108" spans="1:5" x14ac:dyDescent="0.25">
      <c r="A108" t="str">
        <f>'0_Entrada'!A108</f>
        <v>CANTON_EL CHACO</v>
      </c>
      <c r="B108" t="b">
        <f>'0_Entrada'!B108</f>
        <v>0</v>
      </c>
      <c r="C108">
        <f>Scaler!B108</f>
        <v>1.524700142305347E-4</v>
      </c>
      <c r="D108">
        <f>Scaler!C108</f>
        <v>1.2346933511009741E-2</v>
      </c>
      <c r="E108">
        <f t="shared" si="1"/>
        <v>-1.2348816335212094E-2</v>
      </c>
    </row>
    <row r="109" spans="1:5" x14ac:dyDescent="0.25">
      <c r="A109" t="str">
        <f>'0_Entrada'!A109</f>
        <v>CANTON_EL EMPALME</v>
      </c>
      <c r="B109" t="b">
        <f>'0_Entrada'!B109</f>
        <v>0</v>
      </c>
      <c r="C109">
        <f>Scaler!B109</f>
        <v>5.5397438503760931E-3</v>
      </c>
      <c r="D109">
        <f>Scaler!C109</f>
        <v>7.4223009157863659E-2</v>
      </c>
      <c r="E109">
        <f t="shared" si="1"/>
        <v>-7.4636476117449044E-2</v>
      </c>
    </row>
    <row r="110" spans="1:5" x14ac:dyDescent="0.25">
      <c r="A110" t="str">
        <f>'0_Entrada'!A110</f>
        <v>CANTON_EL GUABO</v>
      </c>
      <c r="B110" t="b">
        <f>'0_Entrada'!B110</f>
        <v>0</v>
      </c>
      <c r="C110">
        <f>Scaler!B110</f>
        <v>3.7609270176865218E-3</v>
      </c>
      <c r="D110">
        <f>Scaler!C110</f>
        <v>6.1210966710665157E-2</v>
      </c>
      <c r="E110">
        <f t="shared" si="1"/>
        <v>-6.1442045760588072E-2</v>
      </c>
    </row>
    <row r="111" spans="1:5" x14ac:dyDescent="0.25">
      <c r="A111" t="str">
        <f>'0_Entrada'!A111</f>
        <v>CANTON_EL PAN</v>
      </c>
      <c r="B111" t="b">
        <f>'0_Entrada'!B111</f>
        <v>0</v>
      </c>
      <c r="C111">
        <f>Scaler!B111</f>
        <v>5.0823338076844878E-5</v>
      </c>
      <c r="D111">
        <f>Scaler!C111</f>
        <v>7.1288677267257261E-3</v>
      </c>
      <c r="E111">
        <f t="shared" si="1"/>
        <v>-7.1292300579951888E-3</v>
      </c>
    </row>
    <row r="112" spans="1:5" x14ac:dyDescent="0.25">
      <c r="A112" t="str">
        <f>'0_Entrada'!A112</f>
        <v>CANTON_EL TRIUNFO</v>
      </c>
      <c r="B112" t="b">
        <f>'0_Entrada'!B112</f>
        <v>0</v>
      </c>
      <c r="C112">
        <f>Scaler!B112</f>
        <v>4.5741004269160401E-3</v>
      </c>
      <c r="D112">
        <f>Scaler!C112</f>
        <v>6.7477240846084738E-2</v>
      </c>
      <c r="E112">
        <f t="shared" si="1"/>
        <v>-6.7787306795035404E-2</v>
      </c>
    </row>
    <row r="113" spans="1:5" x14ac:dyDescent="0.25">
      <c r="A113" t="str">
        <f>'0_Entrada'!A113</f>
        <v>CANTON_ELOY ALFARO</v>
      </c>
      <c r="B113" t="b">
        <f>'0_Entrada'!B113</f>
        <v>0</v>
      </c>
      <c r="C113">
        <f>Scaler!B113</f>
        <v>2.5411669038422438E-4</v>
      </c>
      <c r="D113">
        <f>Scaler!C113</f>
        <v>1.5939012362498891E-2</v>
      </c>
      <c r="E113">
        <f t="shared" si="1"/>
        <v>-1.594306376109645E-2</v>
      </c>
    </row>
    <row r="114" spans="1:5" x14ac:dyDescent="0.25">
      <c r="A114" t="str">
        <f>'0_Entrada'!A114</f>
        <v>CANTON_ESMERALDAS</v>
      </c>
      <c r="B114" t="b">
        <f>'0_Entrada'!B114</f>
        <v>0</v>
      </c>
      <c r="C114">
        <f>Scaler!B114</f>
        <v>3.2018702988412281E-3</v>
      </c>
      <c r="D114">
        <f>Scaler!C114</f>
        <v>5.6494409682999847E-2</v>
      </c>
      <c r="E114">
        <f t="shared" si="1"/>
        <v>-5.6675878495013758E-2</v>
      </c>
    </row>
    <row r="115" spans="1:5" x14ac:dyDescent="0.25">
      <c r="A115" t="str">
        <f>'0_Entrada'!A115</f>
        <v>CANTON_ESPEJO</v>
      </c>
      <c r="B115" t="b">
        <f>'0_Entrada'!B115</f>
        <v>0</v>
      </c>
      <c r="C115">
        <f>Scaler!B115</f>
        <v>6.098800569221387E-4</v>
      </c>
      <c r="D115">
        <f>Scaler!C115</f>
        <v>2.4688217903249061E-2</v>
      </c>
      <c r="E115">
        <f t="shared" si="1"/>
        <v>-2.4703283943466662E-2</v>
      </c>
    </row>
    <row r="116" spans="1:5" x14ac:dyDescent="0.25">
      <c r="A116" t="str">
        <f>'0_Entrada'!A116</f>
        <v>CANTON_GENERAL  ANTONIO ELIZALDE</v>
      </c>
      <c r="B116" t="b">
        <f>'0_Entrada'!B116</f>
        <v>0</v>
      </c>
      <c r="C116">
        <f>Scaler!B116</f>
        <v>1.8804635088432609E-3</v>
      </c>
      <c r="D116">
        <f>Scaler!C116</f>
        <v>4.3323519776619829E-2</v>
      </c>
      <c r="E116">
        <f t="shared" si="1"/>
        <v>-4.3405141561422271E-2</v>
      </c>
    </row>
    <row r="117" spans="1:5" x14ac:dyDescent="0.25">
      <c r="A117" t="str">
        <f>'0_Entrada'!A117</f>
        <v>CANTON_GIRON</v>
      </c>
      <c r="B117" t="b">
        <f>'0_Entrada'!B117</f>
        <v>0</v>
      </c>
      <c r="C117">
        <f>Scaler!B117</f>
        <v>1.4230534661516571E-3</v>
      </c>
      <c r="D117">
        <f>Scaler!C117</f>
        <v>3.7696530145149038E-2</v>
      </c>
      <c r="E117">
        <f t="shared" si="1"/>
        <v>-3.7750250770355903E-2</v>
      </c>
    </row>
    <row r="118" spans="1:5" x14ac:dyDescent="0.25">
      <c r="A118" t="str">
        <f>'0_Entrada'!A118</f>
        <v>CANTON_GUACHAPALA</v>
      </c>
      <c r="B118" t="b">
        <f>'0_Entrada'!B118</f>
        <v>0</v>
      </c>
      <c r="C118">
        <f>Scaler!B118</f>
        <v>0</v>
      </c>
      <c r="D118">
        <f>Scaler!C118</f>
        <v>1</v>
      </c>
      <c r="E118">
        <f t="shared" si="1"/>
        <v>0</v>
      </c>
    </row>
    <row r="119" spans="1:5" x14ac:dyDescent="0.25">
      <c r="A119" t="str">
        <f>'0_Entrada'!A119</f>
        <v>CANTON_GUALACEO</v>
      </c>
      <c r="B119" t="b">
        <f>'0_Entrada'!B119</f>
        <v>0</v>
      </c>
      <c r="C119">
        <f>Scaler!B119</f>
        <v>2.4903435657653988E-3</v>
      </c>
      <c r="D119">
        <f>Scaler!C119</f>
        <v>4.9841165262159058E-2</v>
      </c>
      <c r="E119">
        <f t="shared" si="1"/>
        <v>-4.9965596764571317E-2</v>
      </c>
    </row>
    <row r="120" spans="1:5" x14ac:dyDescent="0.25">
      <c r="A120" t="str">
        <f>'0_Entrada'!A120</f>
        <v>CANTON_GUALAQUIZA</v>
      </c>
      <c r="B120" t="b">
        <f>'0_Entrada'!B120</f>
        <v>0</v>
      </c>
      <c r="C120">
        <f>Scaler!B120</f>
        <v>3.0494002846106929E-4</v>
      </c>
      <c r="D120">
        <f>Scaler!C120</f>
        <v>1.7459869416467912E-2</v>
      </c>
      <c r="E120">
        <f t="shared" si="1"/>
        <v>-1.7465195253605618E-2</v>
      </c>
    </row>
    <row r="121" spans="1:5" x14ac:dyDescent="0.25">
      <c r="A121" t="str">
        <f>'0_Entrada'!A121</f>
        <v>CANTON_GUANO</v>
      </c>
      <c r="B121" t="b">
        <f>'0_Entrada'!B121</f>
        <v>0</v>
      </c>
      <c r="C121">
        <f>Scaler!B121</f>
        <v>3.303516974994918E-3</v>
      </c>
      <c r="D121">
        <f>Scaler!C121</f>
        <v>5.7381214265566367E-2</v>
      </c>
      <c r="E121">
        <f t="shared" si="1"/>
        <v>-5.7571402370571838E-2</v>
      </c>
    </row>
    <row r="122" spans="1:5" x14ac:dyDescent="0.25">
      <c r="A122" t="str">
        <f>'0_Entrada'!A122</f>
        <v>CANTON_GUARANDA</v>
      </c>
      <c r="B122" t="b">
        <f>'0_Entrada'!B122</f>
        <v>0</v>
      </c>
      <c r="C122">
        <f>Scaler!B122</f>
        <v>1.8804635088432609E-3</v>
      </c>
      <c r="D122">
        <f>Scaler!C122</f>
        <v>4.3323519776619829E-2</v>
      </c>
      <c r="E122">
        <f t="shared" si="1"/>
        <v>-4.3405141561422271E-2</v>
      </c>
    </row>
    <row r="123" spans="1:5" x14ac:dyDescent="0.25">
      <c r="A123" t="str">
        <f>'0_Entrada'!A123</f>
        <v>CANTON_GUAYAQUIL</v>
      </c>
      <c r="B123" t="b">
        <f>'0_Entrada'!B123</f>
        <v>0</v>
      </c>
      <c r="C123">
        <f>Scaler!B123</f>
        <v>0.23322829843464121</v>
      </c>
      <c r="D123">
        <f>Scaler!C123</f>
        <v>0.42288634317499912</v>
      </c>
      <c r="E123">
        <f t="shared" si="1"/>
        <v>-0.55151532367676037</v>
      </c>
    </row>
    <row r="124" spans="1:5" x14ac:dyDescent="0.25">
      <c r="A124" t="str">
        <f>'0_Entrada'!A124</f>
        <v>CANTON_HUAMBOYA</v>
      </c>
      <c r="B124" t="b">
        <f>'0_Entrada'!B124</f>
        <v>0</v>
      </c>
      <c r="C124">
        <f>Scaler!B124</f>
        <v>3.0494002846106929E-4</v>
      </c>
      <c r="D124">
        <f>Scaler!C124</f>
        <v>1.7459869416467912E-2</v>
      </c>
      <c r="E124">
        <f t="shared" si="1"/>
        <v>-1.7465195253605618E-2</v>
      </c>
    </row>
    <row r="125" spans="1:5" x14ac:dyDescent="0.25">
      <c r="A125" t="str">
        <f>'0_Entrada'!A125</f>
        <v>CANTON_HUAQUILLAS</v>
      </c>
      <c r="B125" t="b">
        <f>'0_Entrada'!B125</f>
        <v>0</v>
      </c>
      <c r="C125">
        <f>Scaler!B125</f>
        <v>2.1345801992274848E-3</v>
      </c>
      <c r="D125">
        <f>Scaler!C125</f>
        <v>4.6152180518373692E-2</v>
      </c>
      <c r="E125">
        <f t="shared" si="1"/>
        <v>-4.6250906788200069E-2</v>
      </c>
    </row>
    <row r="126" spans="1:5" x14ac:dyDescent="0.25">
      <c r="A126" t="str">
        <f>'0_Entrada'!A126</f>
        <v>CANTON_IBARRA</v>
      </c>
      <c r="B126" t="b">
        <f>'0_Entrada'!B126</f>
        <v>0</v>
      </c>
      <c r="C126">
        <f>Scaler!B126</f>
        <v>8.8432608253710097E-3</v>
      </c>
      <c r="D126">
        <f>Scaler!C126</f>
        <v>9.3621886134308732E-2</v>
      </c>
      <c r="E126">
        <f t="shared" si="1"/>
        <v>-9.4457195753187284E-2</v>
      </c>
    </row>
    <row r="127" spans="1:5" x14ac:dyDescent="0.25">
      <c r="A127" t="str">
        <f>'0_Entrada'!A127</f>
        <v>CANTON_ISIDRO AYORA</v>
      </c>
      <c r="B127" t="b">
        <f>'0_Entrada'!B127</f>
        <v>0</v>
      </c>
      <c r="C127">
        <f>Scaler!B127</f>
        <v>7.1152673307582842E-4</v>
      </c>
      <c r="D127">
        <f>Scaler!C127</f>
        <v>2.666496695636331E-2</v>
      </c>
      <c r="E127">
        <f t="shared" si="1"/>
        <v>-2.6683953302482161E-2</v>
      </c>
    </row>
    <row r="128" spans="1:5" x14ac:dyDescent="0.25">
      <c r="A128" t="str">
        <f>'0_Entrada'!A128</f>
        <v>CANTON_JIPIJAPA</v>
      </c>
      <c r="B128" t="b">
        <f>'0_Entrada'!B128</f>
        <v>0</v>
      </c>
      <c r="C128">
        <f>Scaler!B128</f>
        <v>2.7444602561496239E-3</v>
      </c>
      <c r="D128">
        <f>Scaler!C128</f>
        <v>5.2315659166754652E-2</v>
      </c>
      <c r="E128">
        <f t="shared" si="1"/>
        <v>-5.2459632543321991E-2</v>
      </c>
    </row>
    <row r="129" spans="1:5" x14ac:dyDescent="0.25">
      <c r="A129" t="str">
        <f>'0_Entrada'!A129</f>
        <v>CANTON_JUNIN</v>
      </c>
      <c r="B129" t="b">
        <f>'0_Entrada'!B129</f>
        <v>0</v>
      </c>
      <c r="C129">
        <f>Scaler!B129</f>
        <v>6.6070339499898351E-4</v>
      </c>
      <c r="D129">
        <f>Scaler!C129</f>
        <v>2.5695658505335499E-2</v>
      </c>
      <c r="E129">
        <f t="shared" si="1"/>
        <v>-2.571264693846214E-2</v>
      </c>
    </row>
    <row r="130" spans="1:5" x14ac:dyDescent="0.25">
      <c r="A130" t="str">
        <f>'0_Entrada'!A130</f>
        <v>CANTON_LA CONCORDIA</v>
      </c>
      <c r="B130" t="b">
        <f>'0_Entrada'!B130</f>
        <v>0</v>
      </c>
      <c r="C130">
        <f>Scaler!B130</f>
        <v>1.321406789997967E-3</v>
      </c>
      <c r="D130">
        <f>Scaler!C130</f>
        <v>3.6327134129921598E-2</v>
      </c>
      <c r="E130">
        <f t="shared" si="1"/>
        <v>-3.6375200566938277E-2</v>
      </c>
    </row>
    <row r="131" spans="1:5" x14ac:dyDescent="0.25">
      <c r="A131" t="str">
        <f>'0_Entrada'!A131</f>
        <v>CANTON_LA JOYA DE LOS SACHAS</v>
      </c>
      <c r="B131" t="b">
        <f>'0_Entrada'!B131</f>
        <v>0</v>
      </c>
      <c r="C131">
        <f>Scaler!B131</f>
        <v>6.6070339499898351E-4</v>
      </c>
      <c r="D131">
        <f>Scaler!C131</f>
        <v>2.5695658505335499E-2</v>
      </c>
      <c r="E131">
        <f t="shared" ref="E131:E194" si="2">(--B131-C131)/D131</f>
        <v>-2.571264693846214E-2</v>
      </c>
    </row>
    <row r="132" spans="1:5" x14ac:dyDescent="0.25">
      <c r="A132" t="str">
        <f>'0_Entrada'!A132</f>
        <v>CANTON_LA LIBERTAD</v>
      </c>
      <c r="B132" t="b">
        <f>'0_Entrada'!B132</f>
        <v>0</v>
      </c>
      <c r="C132">
        <f>Scaler!B132</f>
        <v>9.0973775157552356E-3</v>
      </c>
      <c r="D132">
        <f>Scaler!C132</f>
        <v>9.49453276264349E-2</v>
      </c>
      <c r="E132">
        <f t="shared" si="2"/>
        <v>-9.5817011149291378E-2</v>
      </c>
    </row>
    <row r="133" spans="1:5" x14ac:dyDescent="0.25">
      <c r="A133" t="str">
        <f>'0_Entrada'!A133</f>
        <v>CANTON_LA MANA</v>
      </c>
      <c r="B133" t="b">
        <f>'0_Entrada'!B133</f>
        <v>0</v>
      </c>
      <c r="C133">
        <f>Scaler!B133</f>
        <v>4.0658670461475908E-4</v>
      </c>
      <c r="D133">
        <f>Scaler!C133</f>
        <v>2.015989563133673E-2</v>
      </c>
      <c r="E133">
        <f t="shared" si="2"/>
        <v>-2.0168095710910175E-2</v>
      </c>
    </row>
    <row r="134" spans="1:5" x14ac:dyDescent="0.25">
      <c r="A134" t="str">
        <f>'0_Entrada'!A134</f>
        <v>CANTON_LA TRONCAL</v>
      </c>
      <c r="B134" t="b">
        <f>'0_Entrada'!B134</f>
        <v>0</v>
      </c>
      <c r="C134">
        <f>Scaler!B134</f>
        <v>8.1317340922951815E-4</v>
      </c>
      <c r="D134">
        <f>Scaler!C134</f>
        <v>2.8504598896249018E-2</v>
      </c>
      <c r="E134">
        <f t="shared" si="2"/>
        <v>-2.8527796942146251E-2</v>
      </c>
    </row>
    <row r="135" spans="1:5" x14ac:dyDescent="0.25">
      <c r="A135" t="str">
        <f>'0_Entrada'!A135</f>
        <v>CANTON_LAGO AGRIO</v>
      </c>
      <c r="B135" t="b">
        <f>'0_Entrada'!B135</f>
        <v>0</v>
      </c>
      <c r="C135">
        <f>Scaler!B135</f>
        <v>2.1345801992274848E-3</v>
      </c>
      <c r="D135">
        <f>Scaler!C135</f>
        <v>4.6152180518373692E-2</v>
      </c>
      <c r="E135">
        <f t="shared" si="2"/>
        <v>-4.6250906788200069E-2</v>
      </c>
    </row>
    <row r="136" spans="1:5" x14ac:dyDescent="0.25">
      <c r="A136" t="str">
        <f>'0_Entrada'!A136</f>
        <v>CANTON_LAS LAJAS</v>
      </c>
      <c r="B136" t="b">
        <f>'0_Entrada'!B136</f>
        <v>0</v>
      </c>
      <c r="C136">
        <f>Scaler!B136</f>
        <v>1.016466761536898E-4</v>
      </c>
      <c r="D136">
        <f>Scaler!C136</f>
        <v>1.008148521334613E-2</v>
      </c>
      <c r="E136">
        <f t="shared" si="2"/>
        <v>-1.0082510066981729E-2</v>
      </c>
    </row>
    <row r="137" spans="1:5" x14ac:dyDescent="0.25">
      <c r="A137" t="str">
        <f>'0_Entrada'!A137</f>
        <v>CANTON_LAS NAVES</v>
      </c>
      <c r="B137" t="b">
        <f>'0_Entrada'!B137</f>
        <v>0</v>
      </c>
      <c r="C137">
        <f>Scaler!B137</f>
        <v>2.0329335230737951E-4</v>
      </c>
      <c r="D137">
        <f>Scaler!C137</f>
        <v>1.42566484182043E-2</v>
      </c>
      <c r="E137">
        <f t="shared" si="2"/>
        <v>-1.4259547289375141E-2</v>
      </c>
    </row>
    <row r="138" spans="1:5" x14ac:dyDescent="0.25">
      <c r="A138" t="str">
        <f>'0_Entrada'!A138</f>
        <v>CANTON_LATACUNGA</v>
      </c>
      <c r="B138" t="b">
        <f>'0_Entrada'!B138</f>
        <v>0</v>
      </c>
      <c r="C138">
        <f>Scaler!B138</f>
        <v>3.1002236226875379E-3</v>
      </c>
      <c r="D138">
        <f>Scaler!C138</f>
        <v>5.5593275098494307E-2</v>
      </c>
      <c r="E138">
        <f t="shared" si="2"/>
        <v>-5.576616267336091E-2</v>
      </c>
    </row>
    <row r="139" spans="1:5" x14ac:dyDescent="0.25">
      <c r="A139" t="str">
        <f>'0_Entrada'!A139</f>
        <v>CANTON_LIMON INDANZA</v>
      </c>
      <c r="B139" t="b">
        <f>'0_Entrada'!B139</f>
        <v>0</v>
      </c>
      <c r="C139">
        <f>Scaler!B139</f>
        <v>5.0823338076844878E-5</v>
      </c>
      <c r="D139">
        <f>Scaler!C139</f>
        <v>7.1288677267257261E-3</v>
      </c>
      <c r="E139">
        <f t="shared" si="2"/>
        <v>-7.1292300579951888E-3</v>
      </c>
    </row>
    <row r="140" spans="1:5" x14ac:dyDescent="0.25">
      <c r="A140" t="str">
        <f>'0_Entrada'!A140</f>
        <v>CANTON_LOGROÑO</v>
      </c>
      <c r="B140" t="b">
        <f>'0_Entrada'!B140</f>
        <v>0</v>
      </c>
      <c r="C140">
        <f>Scaler!B140</f>
        <v>5.0823338076844878E-5</v>
      </c>
      <c r="D140">
        <f>Scaler!C140</f>
        <v>7.1288677267257261E-3</v>
      </c>
      <c r="E140">
        <f t="shared" si="2"/>
        <v>-7.1292300579951888E-3</v>
      </c>
    </row>
    <row r="141" spans="1:5" x14ac:dyDescent="0.25">
      <c r="A141" t="str">
        <f>'0_Entrada'!A141</f>
        <v>CANTON_LOJA</v>
      </c>
      <c r="B141" t="b">
        <f>'0_Entrada'!B141</f>
        <v>0</v>
      </c>
      <c r="C141">
        <f>Scaler!B141</f>
        <v>2.2565562106119132E-2</v>
      </c>
      <c r="D141">
        <f>Scaler!C141</f>
        <v>0.14851382936600219</v>
      </c>
      <c r="E141">
        <f t="shared" si="2"/>
        <v>-0.15194249722366154</v>
      </c>
    </row>
    <row r="142" spans="1:5" x14ac:dyDescent="0.25">
      <c r="A142" t="str">
        <f>'0_Entrada'!A142</f>
        <v>CANTON_LOMAS DE SARGENTILLO</v>
      </c>
      <c r="B142" t="b">
        <f>'0_Entrada'!B142</f>
        <v>0</v>
      </c>
      <c r="C142">
        <f>Scaler!B142</f>
        <v>1.118113437690588E-3</v>
      </c>
      <c r="D142">
        <f>Scaler!C142</f>
        <v>3.3419504185894837E-2</v>
      </c>
      <c r="E142">
        <f t="shared" si="2"/>
        <v>-3.3456912809691028E-2</v>
      </c>
    </row>
    <row r="143" spans="1:5" x14ac:dyDescent="0.25">
      <c r="A143" t="str">
        <f>'0_Entrada'!A143</f>
        <v>CANTON_LORETO</v>
      </c>
      <c r="B143" t="b">
        <f>'0_Entrada'!B143</f>
        <v>0</v>
      </c>
      <c r="C143">
        <f>Scaler!B143</f>
        <v>1.2705834519211221E-3</v>
      </c>
      <c r="D143">
        <f>Scaler!C143</f>
        <v>3.562259212371871E-2</v>
      </c>
      <c r="E143">
        <f t="shared" si="2"/>
        <v>-3.566791118143043E-2</v>
      </c>
    </row>
    <row r="144" spans="1:5" x14ac:dyDescent="0.25">
      <c r="A144" t="str">
        <f>'0_Entrada'!A144</f>
        <v>CANTON_MACARA</v>
      </c>
      <c r="B144" t="b">
        <f>'0_Entrada'!B144</f>
        <v>0</v>
      </c>
      <c r="C144">
        <f>Scaler!B144</f>
        <v>2.0329335230737951E-4</v>
      </c>
      <c r="D144">
        <f>Scaler!C144</f>
        <v>1.42566484182043E-2</v>
      </c>
      <c r="E144">
        <f t="shared" si="2"/>
        <v>-1.4259547289375141E-2</v>
      </c>
    </row>
    <row r="145" spans="1:5" x14ac:dyDescent="0.25">
      <c r="A145" t="str">
        <f>'0_Entrada'!A145</f>
        <v>CANTON_MACHALA</v>
      </c>
      <c r="B145" t="b">
        <f>'0_Entrada'!B145</f>
        <v>0</v>
      </c>
      <c r="C145">
        <f>Scaler!B145</f>
        <v>5.8446838788371617E-3</v>
      </c>
      <c r="D145">
        <f>Scaler!C145</f>
        <v>7.6226790232789041E-2</v>
      </c>
      <c r="E145">
        <f t="shared" si="2"/>
        <v>-7.6674930965715316E-2</v>
      </c>
    </row>
    <row r="146" spans="1:5" x14ac:dyDescent="0.25">
      <c r="A146" t="str">
        <f>'0_Entrada'!A146</f>
        <v>CANTON_MANTA</v>
      </c>
      <c r="B146" t="b">
        <f>'0_Entrada'!B146</f>
        <v>0</v>
      </c>
      <c r="C146">
        <f>Scaler!B146</f>
        <v>1.8550518398048381E-2</v>
      </c>
      <c r="D146">
        <f>Scaler!C146</f>
        <v>0.1349310811681729</v>
      </c>
      <c r="E146">
        <f t="shared" si="2"/>
        <v>-0.1374814330208155</v>
      </c>
    </row>
    <row r="147" spans="1:5" x14ac:dyDescent="0.25">
      <c r="A147" t="str">
        <f>'0_Entrada'!A147</f>
        <v>CANTON_MEJIA</v>
      </c>
      <c r="B147" t="b">
        <f>'0_Entrada'!B147</f>
        <v>0</v>
      </c>
      <c r="C147">
        <f>Scaler!B147</f>
        <v>4.1166903842244362E-3</v>
      </c>
      <c r="D147">
        <f>Scaler!C147</f>
        <v>6.4029237419360771E-2</v>
      </c>
      <c r="E147">
        <f t="shared" si="2"/>
        <v>-6.4293915563324464E-2</v>
      </c>
    </row>
    <row r="148" spans="1:5" x14ac:dyDescent="0.25">
      <c r="A148" t="str">
        <f>'0_Entrada'!A148</f>
        <v>CANTON_MILAGRO</v>
      </c>
      <c r="B148" t="b">
        <f>'0_Entrada'!B148</f>
        <v>0</v>
      </c>
      <c r="C148">
        <f>Scaler!B148</f>
        <v>2.4191908924578169E-2</v>
      </c>
      <c r="D148">
        <f>Scaler!C148</f>
        <v>0.15364459140224579</v>
      </c>
      <c r="E148">
        <f t="shared" si="2"/>
        <v>-0.15745369689742661</v>
      </c>
    </row>
    <row r="149" spans="1:5" x14ac:dyDescent="0.25">
      <c r="A149" t="str">
        <f>'0_Entrada'!A149</f>
        <v>CANTON_MIRA</v>
      </c>
      <c r="B149" t="b">
        <f>'0_Entrada'!B149</f>
        <v>0</v>
      </c>
      <c r="C149">
        <f>Scaler!B149</f>
        <v>2.5411669038422438E-4</v>
      </c>
      <c r="D149">
        <f>Scaler!C149</f>
        <v>1.5939012362498891E-2</v>
      </c>
      <c r="E149">
        <f t="shared" si="2"/>
        <v>-1.594306376109645E-2</v>
      </c>
    </row>
    <row r="150" spans="1:5" x14ac:dyDescent="0.25">
      <c r="A150" t="str">
        <f>'0_Entrada'!A150</f>
        <v>CANTON_MONTALVO</v>
      </c>
      <c r="B150" t="b">
        <f>'0_Entrada'!B150</f>
        <v>0</v>
      </c>
      <c r="C150">
        <f>Scaler!B150</f>
        <v>1.677170156535881E-3</v>
      </c>
      <c r="D150">
        <f>Scaler!C150</f>
        <v>4.0918910747989222E-2</v>
      </c>
      <c r="E150">
        <f t="shared" si="2"/>
        <v>-4.0987654018094753E-2</v>
      </c>
    </row>
    <row r="151" spans="1:5" x14ac:dyDescent="0.25">
      <c r="A151" t="str">
        <f>'0_Entrada'!A151</f>
        <v>CANTON_MONTECRISTI</v>
      </c>
      <c r="B151" t="b">
        <f>'0_Entrada'!B151</f>
        <v>0</v>
      </c>
      <c r="C151">
        <f>Scaler!B151</f>
        <v>4.319983736531815E-3</v>
      </c>
      <c r="D151">
        <f>Scaler!C151</f>
        <v>6.5584460637013051E-2</v>
      </c>
      <c r="E151">
        <f t="shared" si="2"/>
        <v>-6.5869013704959886E-2</v>
      </c>
    </row>
    <row r="152" spans="1:5" x14ac:dyDescent="0.25">
      <c r="A152" t="str">
        <f>'0_Entrada'!A152</f>
        <v>CANTON_MONTUFAR</v>
      </c>
      <c r="B152" t="b">
        <f>'0_Entrada'!B152</f>
        <v>0</v>
      </c>
      <c r="C152">
        <f>Scaler!B152</f>
        <v>1.118113437690588E-3</v>
      </c>
      <c r="D152">
        <f>Scaler!C152</f>
        <v>3.3419504185894837E-2</v>
      </c>
      <c r="E152">
        <f t="shared" si="2"/>
        <v>-3.3456912809691028E-2</v>
      </c>
    </row>
    <row r="153" spans="1:5" x14ac:dyDescent="0.25">
      <c r="A153" t="str">
        <f>'0_Entrada'!A153</f>
        <v>CANTON_MORONA</v>
      </c>
      <c r="B153" t="b">
        <f>'0_Entrada'!B153</f>
        <v>0</v>
      </c>
      <c r="C153">
        <f>Scaler!B153</f>
        <v>2.6936369180727789E-3</v>
      </c>
      <c r="D153">
        <f>Scaler!C153</f>
        <v>5.1830311963429021E-2</v>
      </c>
      <c r="E153">
        <f t="shared" si="2"/>
        <v>-5.1970301085075152E-2</v>
      </c>
    </row>
    <row r="154" spans="1:5" x14ac:dyDescent="0.25">
      <c r="A154" t="str">
        <f>'0_Entrada'!A154</f>
        <v>CANTON_NABON</v>
      </c>
      <c r="B154" t="b">
        <f>'0_Entrada'!B154</f>
        <v>0</v>
      </c>
      <c r="C154">
        <f>Scaler!B154</f>
        <v>2.5411669038422438E-4</v>
      </c>
      <c r="D154">
        <f>Scaler!C154</f>
        <v>1.5939012362498891E-2</v>
      </c>
      <c r="E154">
        <f t="shared" si="2"/>
        <v>-1.594306376109645E-2</v>
      </c>
    </row>
    <row r="155" spans="1:5" x14ac:dyDescent="0.25">
      <c r="A155" t="str">
        <f>'0_Entrada'!A155</f>
        <v>CANTON_NARANJAL</v>
      </c>
      <c r="B155" t="b">
        <f>'0_Entrada'!B155</f>
        <v>0</v>
      </c>
      <c r="C155">
        <f>Scaler!B155</f>
        <v>1.057125431998374E-2</v>
      </c>
      <c r="D155">
        <f>Scaler!C155</f>
        <v>0.102271711152625</v>
      </c>
      <c r="E155">
        <f t="shared" si="2"/>
        <v>-0.1033644025395033</v>
      </c>
    </row>
    <row r="156" spans="1:5" x14ac:dyDescent="0.25">
      <c r="A156" t="str">
        <f>'0_Entrada'!A156</f>
        <v>CANTON_NARANJITO</v>
      </c>
      <c r="B156" t="b">
        <f>'0_Entrada'!B156</f>
        <v>0</v>
      </c>
      <c r="C156">
        <f>Scaler!B156</f>
        <v>4.4216304126855049E-3</v>
      </c>
      <c r="D156">
        <f>Scaler!C156</f>
        <v>6.6348169508880353E-2</v>
      </c>
      <c r="E156">
        <f t="shared" si="2"/>
        <v>-6.6642839514866992E-2</v>
      </c>
    </row>
    <row r="157" spans="1:5" x14ac:dyDescent="0.25">
      <c r="A157" t="str">
        <f>'0_Entrada'!A157</f>
        <v>CANTON_NOBOL</v>
      </c>
      <c r="B157" t="b">
        <f>'0_Entrada'!B157</f>
        <v>0</v>
      </c>
      <c r="C157">
        <f>Scaler!B157</f>
        <v>1.677170156535881E-3</v>
      </c>
      <c r="D157">
        <f>Scaler!C157</f>
        <v>4.0918910747989222E-2</v>
      </c>
      <c r="E157">
        <f t="shared" si="2"/>
        <v>-4.0987654018094753E-2</v>
      </c>
    </row>
    <row r="158" spans="1:5" x14ac:dyDescent="0.25">
      <c r="A158" t="str">
        <f>'0_Entrada'!A158</f>
        <v>CANTON_ORELLANA</v>
      </c>
      <c r="B158" t="b">
        <f>'0_Entrada'!B158</f>
        <v>0</v>
      </c>
      <c r="C158">
        <f>Scaler!B158</f>
        <v>1.2705834519211221E-3</v>
      </c>
      <c r="D158">
        <f>Scaler!C158</f>
        <v>3.562259212371871E-2</v>
      </c>
      <c r="E158">
        <f t="shared" si="2"/>
        <v>-3.566791118143043E-2</v>
      </c>
    </row>
    <row r="159" spans="1:5" x14ac:dyDescent="0.25">
      <c r="A159" t="str">
        <f>'0_Entrada'!A159</f>
        <v>CANTON_OTAVALO</v>
      </c>
      <c r="B159" t="b">
        <f>'0_Entrada'!B159</f>
        <v>0</v>
      </c>
      <c r="C159">
        <f>Scaler!B159</f>
        <v>4.0658670461475909E-3</v>
      </c>
      <c r="D159">
        <f>Scaler!C159</f>
        <v>6.363439141934682E-2</v>
      </c>
      <c r="E159">
        <f t="shared" si="2"/>
        <v>-6.389417664661505E-2</v>
      </c>
    </row>
    <row r="160" spans="1:5" x14ac:dyDescent="0.25">
      <c r="A160" t="str">
        <f>'0_Entrada'!A160</f>
        <v>CANTON_OÑA</v>
      </c>
      <c r="B160" t="b">
        <f>'0_Entrada'!B160</f>
        <v>0</v>
      </c>
      <c r="C160">
        <f>Scaler!B160</f>
        <v>5.0823338076844878E-5</v>
      </c>
      <c r="D160">
        <f>Scaler!C160</f>
        <v>7.1288677267257261E-3</v>
      </c>
      <c r="E160">
        <f t="shared" si="2"/>
        <v>-7.1292300579951888E-3</v>
      </c>
    </row>
    <row r="161" spans="1:5" x14ac:dyDescent="0.25">
      <c r="A161" t="str">
        <f>'0_Entrada'!A161</f>
        <v>CANTON_PAJAN</v>
      </c>
      <c r="B161" t="b">
        <f>'0_Entrada'!B161</f>
        <v>0</v>
      </c>
      <c r="C161">
        <f>Scaler!B161</f>
        <v>1.321406789997967E-3</v>
      </c>
      <c r="D161">
        <f>Scaler!C161</f>
        <v>3.6327134129921598E-2</v>
      </c>
      <c r="E161">
        <f t="shared" si="2"/>
        <v>-3.6375200566938277E-2</v>
      </c>
    </row>
    <row r="162" spans="1:5" x14ac:dyDescent="0.25">
      <c r="A162" t="str">
        <f>'0_Entrada'!A162</f>
        <v>CANTON_PALESTINA</v>
      </c>
      <c r="B162" t="b">
        <f>'0_Entrada'!B162</f>
        <v>0</v>
      </c>
      <c r="C162">
        <f>Scaler!B162</f>
        <v>1.7279934946127259E-3</v>
      </c>
      <c r="D162">
        <f>Scaler!C162</f>
        <v>4.1533210002301792E-2</v>
      </c>
      <c r="E162">
        <f t="shared" si="2"/>
        <v>-4.1605103350233694E-2</v>
      </c>
    </row>
    <row r="163" spans="1:5" x14ac:dyDescent="0.25">
      <c r="A163" t="str">
        <f>'0_Entrada'!A163</f>
        <v>CANTON_PALLATANGA</v>
      </c>
      <c r="B163" t="b">
        <f>'0_Entrada'!B163</f>
        <v>0</v>
      </c>
      <c r="C163">
        <f>Scaler!B163</f>
        <v>9.6564342346005291E-4</v>
      </c>
      <c r="D163">
        <f>Scaler!C163</f>
        <v>3.1059796461644459E-2</v>
      </c>
      <c r="E163">
        <f t="shared" si="2"/>
        <v>-3.1089818140067973E-2</v>
      </c>
    </row>
    <row r="164" spans="1:5" x14ac:dyDescent="0.25">
      <c r="A164" t="str">
        <f>'0_Entrada'!A164</f>
        <v>CANTON_PALORA</v>
      </c>
      <c r="B164" t="b">
        <f>'0_Entrada'!B164</f>
        <v>0</v>
      </c>
      <c r="C164">
        <f>Scaler!B164</f>
        <v>3.0494002846106929E-4</v>
      </c>
      <c r="D164">
        <f>Scaler!C164</f>
        <v>1.7459869416467912E-2</v>
      </c>
      <c r="E164">
        <f t="shared" si="2"/>
        <v>-1.7465195253605618E-2</v>
      </c>
    </row>
    <row r="165" spans="1:5" x14ac:dyDescent="0.25">
      <c r="A165" t="str">
        <f>'0_Entrada'!A165</f>
        <v>CANTON_PALTAS</v>
      </c>
      <c r="B165" t="b">
        <f>'0_Entrada'!B165</f>
        <v>0</v>
      </c>
      <c r="C165">
        <f>Scaler!B165</f>
        <v>1.016466761536898E-4</v>
      </c>
      <c r="D165">
        <f>Scaler!C165</f>
        <v>1.008148521334613E-2</v>
      </c>
      <c r="E165">
        <f t="shared" si="2"/>
        <v>-1.0082510066981729E-2</v>
      </c>
    </row>
    <row r="166" spans="1:5" x14ac:dyDescent="0.25">
      <c r="A166" t="str">
        <f>'0_Entrada'!A166</f>
        <v>CANTON_PANGUA</v>
      </c>
      <c r="B166" t="b">
        <f>'0_Entrada'!B166</f>
        <v>0</v>
      </c>
      <c r="C166">
        <f>Scaler!B166</f>
        <v>1.016466761536898E-4</v>
      </c>
      <c r="D166">
        <f>Scaler!C166</f>
        <v>1.008148521334613E-2</v>
      </c>
      <c r="E166">
        <f t="shared" si="2"/>
        <v>-1.0082510066981729E-2</v>
      </c>
    </row>
    <row r="167" spans="1:5" x14ac:dyDescent="0.25">
      <c r="A167" t="str">
        <f>'0_Entrada'!A167</f>
        <v>CANTON_PAQUISHA</v>
      </c>
      <c r="B167" t="b">
        <f>'0_Entrada'!B167</f>
        <v>0</v>
      </c>
      <c r="C167">
        <f>Scaler!B167</f>
        <v>4.57410042691604E-4</v>
      </c>
      <c r="D167">
        <f>Scaler!C167</f>
        <v>2.1382254762874021E-2</v>
      </c>
      <c r="E167">
        <f t="shared" si="2"/>
        <v>-2.1392039696664939E-2</v>
      </c>
    </row>
    <row r="168" spans="1:5" x14ac:dyDescent="0.25">
      <c r="A168" t="str">
        <f>'0_Entrada'!A168</f>
        <v>CANTON_PASAJE</v>
      </c>
      <c r="B168" t="b">
        <f>'0_Entrada'!B168</f>
        <v>0</v>
      </c>
      <c r="C168">
        <f>Scaler!B168</f>
        <v>2.7444602561496239E-3</v>
      </c>
      <c r="D168">
        <f>Scaler!C168</f>
        <v>5.2315659166754652E-2</v>
      </c>
      <c r="E168">
        <f t="shared" si="2"/>
        <v>-5.2459632543321991E-2</v>
      </c>
    </row>
    <row r="169" spans="1:5" x14ac:dyDescent="0.25">
      <c r="A169" t="str">
        <f>'0_Entrada'!A169</f>
        <v>CANTON_PASTAZA</v>
      </c>
      <c r="B169" t="b">
        <f>'0_Entrada'!B169</f>
        <v>0</v>
      </c>
      <c r="C169">
        <f>Scaler!B169</f>
        <v>1.168936775767432E-3</v>
      </c>
      <c r="D169">
        <f>Scaler!C169</f>
        <v>3.4169728746094703E-2</v>
      </c>
      <c r="E169">
        <f t="shared" si="2"/>
        <v>-3.4209717743253411E-2</v>
      </c>
    </row>
    <row r="170" spans="1:5" x14ac:dyDescent="0.25">
      <c r="A170" t="str">
        <f>'0_Entrada'!A170</f>
        <v>CANTON_PATATE</v>
      </c>
      <c r="B170" t="b">
        <f>'0_Entrada'!B170</f>
        <v>0</v>
      </c>
      <c r="C170">
        <f>Scaler!B170</f>
        <v>3.303516974994918E-3</v>
      </c>
      <c r="D170">
        <f>Scaler!C170</f>
        <v>5.7381214265566367E-2</v>
      </c>
      <c r="E170">
        <f t="shared" si="2"/>
        <v>-5.7571402370571838E-2</v>
      </c>
    </row>
    <row r="171" spans="1:5" x14ac:dyDescent="0.25">
      <c r="A171" t="str">
        <f>'0_Entrada'!A171</f>
        <v>CANTON_PAUTE</v>
      </c>
      <c r="B171" t="b">
        <f>'0_Entrada'!B171</f>
        <v>0</v>
      </c>
      <c r="C171">
        <f>Scaler!B171</f>
        <v>1.575523480382192E-3</v>
      </c>
      <c r="D171">
        <f>Scaler!C171</f>
        <v>3.9661583505263082E-2</v>
      </c>
      <c r="E171">
        <f t="shared" si="2"/>
        <v>-3.9724169867628216E-2</v>
      </c>
    </row>
    <row r="172" spans="1:5" x14ac:dyDescent="0.25">
      <c r="A172" t="str">
        <f>'0_Entrada'!A172</f>
        <v>CANTON_PEDERNALES</v>
      </c>
      <c r="B172" t="b">
        <f>'0_Entrada'!B172</f>
        <v>0</v>
      </c>
      <c r="C172">
        <f>Scaler!B172</f>
        <v>6.098800569221387E-4</v>
      </c>
      <c r="D172">
        <f>Scaler!C172</f>
        <v>2.4688217903249061E-2</v>
      </c>
      <c r="E172">
        <f t="shared" si="2"/>
        <v>-2.4703283943466662E-2</v>
      </c>
    </row>
    <row r="173" spans="1:5" x14ac:dyDescent="0.25">
      <c r="A173" t="str">
        <f>'0_Entrada'!A173</f>
        <v>CANTON_PEDRO CARBO</v>
      </c>
      <c r="B173" t="b">
        <f>'0_Entrada'!B173</f>
        <v>0</v>
      </c>
      <c r="C173">
        <f>Scaler!B173</f>
        <v>2.5919902419190891E-3</v>
      </c>
      <c r="D173">
        <f>Scaler!C173</f>
        <v>5.0845568425428027E-2</v>
      </c>
      <c r="E173">
        <f t="shared" si="2"/>
        <v>-5.0977702131909428E-2</v>
      </c>
    </row>
    <row r="174" spans="1:5" x14ac:dyDescent="0.25">
      <c r="A174" t="str">
        <f>'0_Entrada'!A174</f>
        <v>CANTON_PEDRO MONCAYO</v>
      </c>
      <c r="B174" t="b">
        <f>'0_Entrada'!B174</f>
        <v>0</v>
      </c>
      <c r="C174">
        <f>Scaler!B174</f>
        <v>6.098800569221387E-4</v>
      </c>
      <c r="D174">
        <f>Scaler!C174</f>
        <v>2.4688217903249061E-2</v>
      </c>
      <c r="E174">
        <f t="shared" si="2"/>
        <v>-2.4703283943466662E-2</v>
      </c>
    </row>
    <row r="175" spans="1:5" x14ac:dyDescent="0.25">
      <c r="A175" t="str">
        <f>'0_Entrada'!A175</f>
        <v>CANTON_PEDRO VICENTE MALDONADO</v>
      </c>
      <c r="B175" t="b">
        <f>'0_Entrada'!B175</f>
        <v>0</v>
      </c>
      <c r="C175">
        <f>Scaler!B175</f>
        <v>2.0329335230737951E-4</v>
      </c>
      <c r="D175">
        <f>Scaler!C175</f>
        <v>1.42566484182043E-2</v>
      </c>
      <c r="E175">
        <f t="shared" si="2"/>
        <v>-1.4259547289375141E-2</v>
      </c>
    </row>
    <row r="176" spans="1:5" x14ac:dyDescent="0.25">
      <c r="A176" t="str">
        <f>'0_Entrada'!A176</f>
        <v>CANTON_PICHINCHA</v>
      </c>
      <c r="B176" t="b">
        <f>'0_Entrada'!B176</f>
        <v>0</v>
      </c>
      <c r="C176">
        <f>Scaler!B176</f>
        <v>1.016466761536898E-4</v>
      </c>
      <c r="D176">
        <f>Scaler!C176</f>
        <v>1.008148521334613E-2</v>
      </c>
      <c r="E176">
        <f t="shared" si="2"/>
        <v>-1.0082510066981729E-2</v>
      </c>
    </row>
    <row r="177" spans="1:5" x14ac:dyDescent="0.25">
      <c r="A177" t="str">
        <f>'0_Entrada'!A177</f>
        <v>CANTON_PIMAMPIRO</v>
      </c>
      <c r="B177" t="b">
        <f>'0_Entrada'!B177</f>
        <v>0</v>
      </c>
      <c r="C177">
        <f>Scaler!B177</f>
        <v>3.5576336653791421E-4</v>
      </c>
      <c r="D177">
        <f>Scaler!C177</f>
        <v>1.885833499980695E-2</v>
      </c>
      <c r="E177">
        <f t="shared" si="2"/>
        <v>-1.886504649225693E-2</v>
      </c>
    </row>
    <row r="178" spans="1:5" x14ac:dyDescent="0.25">
      <c r="A178" t="str">
        <f>'0_Entrada'!A178</f>
        <v>CANTON_PINDAL</v>
      </c>
      <c r="B178" t="b">
        <f>'0_Entrada'!B178</f>
        <v>0</v>
      </c>
      <c r="C178">
        <f>Scaler!B178</f>
        <v>5.0823338076844878E-5</v>
      </c>
      <c r="D178">
        <f>Scaler!C178</f>
        <v>7.1288677267257261E-3</v>
      </c>
      <c r="E178">
        <f t="shared" si="2"/>
        <v>-7.1292300579951888E-3</v>
      </c>
    </row>
    <row r="179" spans="1:5" x14ac:dyDescent="0.25">
      <c r="A179" t="str">
        <f>'0_Entrada'!A179</f>
        <v>CANTON_PIÑAS</v>
      </c>
      <c r="B179" t="b">
        <f>'0_Entrada'!B179</f>
        <v>0</v>
      </c>
      <c r="C179">
        <f>Scaler!B179</f>
        <v>1.473876804228502E-3</v>
      </c>
      <c r="D179">
        <f>Scaler!C179</f>
        <v>3.8362800880468298E-2</v>
      </c>
      <c r="E179">
        <f t="shared" si="2"/>
        <v>-3.8419426381844264E-2</v>
      </c>
    </row>
    <row r="180" spans="1:5" x14ac:dyDescent="0.25">
      <c r="A180" t="str">
        <f>'0_Entrada'!A180</f>
        <v>CANTON_PLAYAS</v>
      </c>
      <c r="B180" t="b">
        <f>'0_Entrada'!B180</f>
        <v>0</v>
      </c>
      <c r="C180">
        <f>Scaler!B180</f>
        <v>4.3708070746086604E-3</v>
      </c>
      <c r="D180">
        <f>Scaler!C180</f>
        <v>6.5967439848194892E-2</v>
      </c>
      <c r="E180">
        <f t="shared" si="2"/>
        <v>-6.6257036572388087E-2</v>
      </c>
    </row>
    <row r="181" spans="1:5" x14ac:dyDescent="0.25">
      <c r="A181" t="str">
        <f>'0_Entrada'!A181</f>
        <v>CANTON_PORTOVELO</v>
      </c>
      <c r="B181" t="b">
        <f>'0_Entrada'!B181</f>
        <v>0</v>
      </c>
      <c r="C181">
        <f>Scaler!B181</f>
        <v>6.098800569221387E-4</v>
      </c>
      <c r="D181">
        <f>Scaler!C181</f>
        <v>2.4688217903249061E-2</v>
      </c>
      <c r="E181">
        <f t="shared" si="2"/>
        <v>-2.4703283943466662E-2</v>
      </c>
    </row>
    <row r="182" spans="1:5" x14ac:dyDescent="0.25">
      <c r="A182" t="str">
        <f>'0_Entrada'!A182</f>
        <v>CANTON_PORTOVIEJO</v>
      </c>
      <c r="B182" t="b">
        <f>'0_Entrada'!B182</f>
        <v>0</v>
      </c>
      <c r="C182">
        <f>Scaler!B182</f>
        <v>2.8969302703801589E-2</v>
      </c>
      <c r="D182">
        <f>Scaler!C182</f>
        <v>0.167720249834828</v>
      </c>
      <c r="E182">
        <f t="shared" si="2"/>
        <v>-0.1727239419946652</v>
      </c>
    </row>
    <row r="183" spans="1:5" x14ac:dyDescent="0.25">
      <c r="A183" t="str">
        <f>'0_Entrada'!A183</f>
        <v>CANTON_PUCARA</v>
      </c>
      <c r="B183" t="b">
        <f>'0_Entrada'!B183</f>
        <v>0</v>
      </c>
      <c r="C183">
        <f>Scaler!B183</f>
        <v>5.0823338076844878E-5</v>
      </c>
      <c r="D183">
        <f>Scaler!C183</f>
        <v>7.1288677267257261E-3</v>
      </c>
      <c r="E183">
        <f t="shared" si="2"/>
        <v>-7.1292300579951888E-3</v>
      </c>
    </row>
    <row r="184" spans="1:5" x14ac:dyDescent="0.25">
      <c r="A184" t="str">
        <f>'0_Entrada'!A184</f>
        <v>CANTON_PUEBLOVIEJO</v>
      </c>
      <c r="B184" t="b">
        <f>'0_Entrada'!B184</f>
        <v>0</v>
      </c>
      <c r="C184">
        <f>Scaler!B184</f>
        <v>2.7444602561496239E-3</v>
      </c>
      <c r="D184">
        <f>Scaler!C184</f>
        <v>5.2315659166754652E-2</v>
      </c>
      <c r="E184">
        <f t="shared" si="2"/>
        <v>-5.2459632543321991E-2</v>
      </c>
    </row>
    <row r="185" spans="1:5" x14ac:dyDescent="0.25">
      <c r="A185" t="str">
        <f>'0_Entrada'!A185</f>
        <v>CANTON_PUERTO LOPEZ</v>
      </c>
      <c r="B185" t="b">
        <f>'0_Entrada'!B185</f>
        <v>0</v>
      </c>
      <c r="C185">
        <f>Scaler!B185</f>
        <v>1.219760113844277E-3</v>
      </c>
      <c r="D185">
        <f>Scaler!C185</f>
        <v>3.4903757664597537E-2</v>
      </c>
      <c r="E185">
        <f t="shared" si="2"/>
        <v>-3.4946383869764973E-2</v>
      </c>
    </row>
    <row r="186" spans="1:5" x14ac:dyDescent="0.25">
      <c r="A186" t="str">
        <f>'0_Entrada'!A186</f>
        <v>CANTON_PUERTO QUITO</v>
      </c>
      <c r="B186" t="b">
        <f>'0_Entrada'!B186</f>
        <v>0</v>
      </c>
      <c r="C186">
        <f>Scaler!B186</f>
        <v>2.0329335230737951E-4</v>
      </c>
      <c r="D186">
        <f>Scaler!C186</f>
        <v>1.42566484182043E-2</v>
      </c>
      <c r="E186">
        <f t="shared" si="2"/>
        <v>-1.4259547289375141E-2</v>
      </c>
    </row>
    <row r="187" spans="1:5" x14ac:dyDescent="0.25">
      <c r="A187" t="str">
        <f>'0_Entrada'!A187</f>
        <v>CANTON_PUJILI</v>
      </c>
      <c r="B187" t="b">
        <f>'0_Entrada'!B187</f>
        <v>0</v>
      </c>
      <c r="C187">
        <f>Scaler!B187</f>
        <v>5.5905671884529378E-4</v>
      </c>
      <c r="D187">
        <f>Scaler!C187</f>
        <v>2.363777008159627E-2</v>
      </c>
      <c r="E187">
        <f t="shared" si="2"/>
        <v>-2.3650992327764464E-2</v>
      </c>
    </row>
    <row r="188" spans="1:5" x14ac:dyDescent="0.25">
      <c r="A188" t="str">
        <f>'0_Entrada'!A188</f>
        <v>CANTON_PUTUMAYO</v>
      </c>
      <c r="B188" t="b">
        <f>'0_Entrada'!B188</f>
        <v>0</v>
      </c>
      <c r="C188">
        <f>Scaler!B188</f>
        <v>2.0329335230737951E-4</v>
      </c>
      <c r="D188">
        <f>Scaler!C188</f>
        <v>1.42566484182043E-2</v>
      </c>
      <c r="E188">
        <f t="shared" si="2"/>
        <v>-1.4259547289375141E-2</v>
      </c>
    </row>
    <row r="189" spans="1:5" x14ac:dyDescent="0.25">
      <c r="A189" t="str">
        <f>'0_Entrada'!A189</f>
        <v>CANTON_QUERO</v>
      </c>
      <c r="B189" t="b">
        <f>'0_Entrada'!B189</f>
        <v>0</v>
      </c>
      <c r="C189">
        <f>Scaler!B189</f>
        <v>2.5411669038422442E-3</v>
      </c>
      <c r="D189">
        <f>Scaler!C189</f>
        <v>5.034589729669204E-2</v>
      </c>
      <c r="E189">
        <f t="shared" si="2"/>
        <v>-5.0474160563013952E-2</v>
      </c>
    </row>
    <row r="190" spans="1:5" x14ac:dyDescent="0.25">
      <c r="A190" t="str">
        <f>'0_Entrada'!A190</f>
        <v>CANTON_QUEVEDO</v>
      </c>
      <c r="B190" t="b">
        <f>'0_Entrada'!B190</f>
        <v>0</v>
      </c>
      <c r="C190">
        <f>Scaler!B190</f>
        <v>6.3529172596056109E-3</v>
      </c>
      <c r="D190">
        <f>Scaler!C190</f>
        <v>7.9451606037248976E-2</v>
      </c>
      <c r="E190">
        <f t="shared" si="2"/>
        <v>-7.9959582649936592E-2</v>
      </c>
    </row>
    <row r="191" spans="1:5" x14ac:dyDescent="0.25">
      <c r="A191" t="str">
        <f>'0_Entrada'!A191</f>
        <v>CANTON_QUIJOS</v>
      </c>
      <c r="B191" t="b">
        <f>'0_Entrada'!B191</f>
        <v>0</v>
      </c>
      <c r="C191">
        <f>Scaler!B191</f>
        <v>6.6070339499898351E-4</v>
      </c>
      <c r="D191">
        <f>Scaler!C191</f>
        <v>2.5695658505335499E-2</v>
      </c>
      <c r="E191">
        <f t="shared" si="2"/>
        <v>-2.571264693846214E-2</v>
      </c>
    </row>
    <row r="192" spans="1:5" x14ac:dyDescent="0.25">
      <c r="A192" t="str">
        <f>'0_Entrada'!A192</f>
        <v>CANTON_QUININDE</v>
      </c>
      <c r="B192" t="b">
        <f>'0_Entrada'!B192</f>
        <v>0</v>
      </c>
      <c r="C192">
        <f>Scaler!B192</f>
        <v>1.677170156535881E-3</v>
      </c>
      <c r="D192">
        <f>Scaler!C192</f>
        <v>4.0918910747989222E-2</v>
      </c>
      <c r="E192">
        <f t="shared" si="2"/>
        <v>-4.0987654018094753E-2</v>
      </c>
    </row>
    <row r="193" spans="1:5" x14ac:dyDescent="0.25">
      <c r="A193" t="str">
        <f>'0_Entrada'!A193</f>
        <v>CANTON_RIOBAMBA</v>
      </c>
      <c r="B193" t="b">
        <f>'0_Entrada'!B193</f>
        <v>0</v>
      </c>
      <c r="C193">
        <f>Scaler!B193</f>
        <v>1.697499491766619E-2</v>
      </c>
      <c r="D193">
        <f>Scaler!C193</f>
        <v>0.12917756951271139</v>
      </c>
      <c r="E193">
        <f t="shared" si="2"/>
        <v>-0.13140822343770608</v>
      </c>
    </row>
    <row r="194" spans="1:5" x14ac:dyDescent="0.25">
      <c r="A194" t="str">
        <f>'0_Entrada'!A194</f>
        <v>CANTON_RIOVERDE</v>
      </c>
      <c r="B194" t="b">
        <f>'0_Entrada'!B194</f>
        <v>0</v>
      </c>
      <c r="C194">
        <f>Scaler!B194</f>
        <v>4.0658670461475908E-4</v>
      </c>
      <c r="D194">
        <f>Scaler!C194</f>
        <v>2.015989563133673E-2</v>
      </c>
      <c r="E194">
        <f t="shared" si="2"/>
        <v>-2.0168095710910175E-2</v>
      </c>
    </row>
    <row r="195" spans="1:5" x14ac:dyDescent="0.25">
      <c r="A195" t="str">
        <f>'0_Entrada'!A195</f>
        <v>CANTON_ROCAFUERTE</v>
      </c>
      <c r="B195" t="b">
        <f>'0_Entrada'!B195</f>
        <v>0</v>
      </c>
      <c r="C195">
        <f>Scaler!B195</f>
        <v>2.8969302703801591E-3</v>
      </c>
      <c r="D195">
        <f>Scaler!C195</f>
        <v>5.3745121317089931E-2</v>
      </c>
      <c r="E195">
        <f t="shared" ref="E195:E241" si="3">(--B195-C195)/D195</f>
        <v>-5.3901269536421909E-2</v>
      </c>
    </row>
    <row r="196" spans="1:5" x14ac:dyDescent="0.25">
      <c r="A196" t="str">
        <f>'0_Entrada'!A196</f>
        <v>CANTON_RUMIÑAHUI</v>
      </c>
      <c r="B196" t="b">
        <f>'0_Entrada'!B196</f>
        <v>0</v>
      </c>
      <c r="C196">
        <f>Scaler!B196</f>
        <v>1.829640170766416E-3</v>
      </c>
      <c r="D196">
        <f>Scaler!C196</f>
        <v>4.2735144642459491E-2</v>
      </c>
      <c r="E196">
        <f t="shared" si="3"/>
        <v>-4.2813477901478249E-2</v>
      </c>
    </row>
    <row r="197" spans="1:5" x14ac:dyDescent="0.25">
      <c r="A197" t="str">
        <f>'0_Entrada'!A197</f>
        <v>CANTON_SALCEDO</v>
      </c>
      <c r="B197" t="b">
        <f>'0_Entrada'!B197</f>
        <v>0</v>
      </c>
      <c r="C197">
        <f>Scaler!B197</f>
        <v>4.0658670461475908E-4</v>
      </c>
      <c r="D197">
        <f>Scaler!C197</f>
        <v>2.015989563133673E-2</v>
      </c>
      <c r="E197">
        <f t="shared" si="3"/>
        <v>-2.0168095710910175E-2</v>
      </c>
    </row>
    <row r="198" spans="1:5" x14ac:dyDescent="0.25">
      <c r="A198" t="str">
        <f>'0_Entrada'!A198</f>
        <v>CANTON_SALINAS</v>
      </c>
      <c r="B198" t="b">
        <f>'0_Entrada'!B198</f>
        <v>0</v>
      </c>
      <c r="C198">
        <f>Scaler!B198</f>
        <v>6.0988005692213867E-3</v>
      </c>
      <c r="D198">
        <f>Scaler!C198</f>
        <v>7.7856311246027127E-2</v>
      </c>
      <c r="E198">
        <f t="shared" si="3"/>
        <v>-7.8334055025405511E-2</v>
      </c>
    </row>
    <row r="199" spans="1:5" x14ac:dyDescent="0.25">
      <c r="A199" t="str">
        <f>'0_Entrada'!A199</f>
        <v>CANTON_SALITRE</v>
      </c>
      <c r="B199" t="b">
        <f>'0_Entrada'!B199</f>
        <v>0</v>
      </c>
      <c r="C199">
        <f>Scaler!B199</f>
        <v>3.252693636918073E-3</v>
      </c>
      <c r="D199">
        <f>Scaler!C199</f>
        <v>5.6939561124251963E-2</v>
      </c>
      <c r="E199">
        <f t="shared" si="3"/>
        <v>-5.7125372459758399E-2</v>
      </c>
    </row>
    <row r="200" spans="1:5" x14ac:dyDescent="0.25">
      <c r="A200" t="str">
        <f>'0_Entrada'!A200</f>
        <v>CANTON_SAMBORONDON</v>
      </c>
      <c r="B200" t="b">
        <f>'0_Entrada'!B200</f>
        <v>0</v>
      </c>
      <c r="C200">
        <f>Scaler!B200</f>
        <v>1.153689774344379E-2</v>
      </c>
      <c r="D200">
        <f>Scaler!C200</f>
        <v>0.1067885655578401</v>
      </c>
      <c r="E200">
        <f t="shared" si="3"/>
        <v>-0.10803495377222797</v>
      </c>
    </row>
    <row r="201" spans="1:5" x14ac:dyDescent="0.25">
      <c r="A201" t="str">
        <f>'0_Entrada'!A201</f>
        <v>CANTON_SAN CRISTOBAL</v>
      </c>
      <c r="B201" t="b">
        <f>'0_Entrada'!B201</f>
        <v>0</v>
      </c>
      <c r="C201">
        <f>Scaler!B201</f>
        <v>1.524700142305347E-4</v>
      </c>
      <c r="D201">
        <f>Scaler!C201</f>
        <v>1.2346933511009741E-2</v>
      </c>
      <c r="E201">
        <f t="shared" si="3"/>
        <v>-1.2348816335212094E-2</v>
      </c>
    </row>
    <row r="202" spans="1:5" x14ac:dyDescent="0.25">
      <c r="A202" t="str">
        <f>'0_Entrada'!A202</f>
        <v>CANTON_SAN JACINTO DE YAGUACHI</v>
      </c>
      <c r="B202" t="b">
        <f>'0_Entrada'!B202</f>
        <v>0</v>
      </c>
      <c r="C202">
        <f>Scaler!B202</f>
        <v>1.087619434844481E-2</v>
      </c>
      <c r="D202">
        <f>Scaler!C202</f>
        <v>0.1037203101853232</v>
      </c>
      <c r="E202">
        <f t="shared" si="3"/>
        <v>-0.10486079658855312</v>
      </c>
    </row>
    <row r="203" spans="1:5" x14ac:dyDescent="0.25">
      <c r="A203" t="str">
        <f>'0_Entrada'!A203</f>
        <v>CANTON_SAN JUAN BOSCO</v>
      </c>
      <c r="B203" t="b">
        <f>'0_Entrada'!B203</f>
        <v>0</v>
      </c>
      <c r="C203">
        <f>Scaler!B203</f>
        <v>1.016466761536898E-4</v>
      </c>
      <c r="D203">
        <f>Scaler!C203</f>
        <v>1.008148521334613E-2</v>
      </c>
      <c r="E203">
        <f t="shared" si="3"/>
        <v>-1.0082510066981729E-2</v>
      </c>
    </row>
    <row r="204" spans="1:5" x14ac:dyDescent="0.25">
      <c r="A204" t="str">
        <f>'0_Entrada'!A204</f>
        <v>CANTON_SAN LORENZO</v>
      </c>
      <c r="B204" t="b">
        <f>'0_Entrada'!B204</f>
        <v>0</v>
      </c>
      <c r="C204">
        <f>Scaler!B204</f>
        <v>1.168936775767432E-3</v>
      </c>
      <c r="D204">
        <f>Scaler!C204</f>
        <v>3.4169728746094703E-2</v>
      </c>
      <c r="E204">
        <f t="shared" si="3"/>
        <v>-3.4209717743253411E-2</v>
      </c>
    </row>
    <row r="205" spans="1:5" x14ac:dyDescent="0.25">
      <c r="A205" t="str">
        <f>'0_Entrada'!A205</f>
        <v>CANTON_SAN MIGUEL</v>
      </c>
      <c r="B205" t="b">
        <f>'0_Entrada'!B205</f>
        <v>0</v>
      </c>
      <c r="C205">
        <f>Scaler!B205</f>
        <v>2.947753608457004E-3</v>
      </c>
      <c r="D205">
        <f>Scaler!C205</f>
        <v>5.4213138233465429E-2</v>
      </c>
      <c r="E205">
        <f t="shared" si="3"/>
        <v>-5.4373417671611093E-2</v>
      </c>
    </row>
    <row r="206" spans="1:5" x14ac:dyDescent="0.25">
      <c r="A206" t="str">
        <f>'0_Entrada'!A206</f>
        <v>CANTON_SAN MIGUEL DE LOS BANCOS</v>
      </c>
      <c r="B206" t="b">
        <f>'0_Entrada'!B206</f>
        <v>0</v>
      </c>
      <c r="C206">
        <f>Scaler!B206</f>
        <v>2.0329335230737951E-4</v>
      </c>
      <c r="D206">
        <f>Scaler!C206</f>
        <v>1.42566484182043E-2</v>
      </c>
      <c r="E206">
        <f t="shared" si="3"/>
        <v>-1.4259547289375141E-2</v>
      </c>
    </row>
    <row r="207" spans="1:5" x14ac:dyDescent="0.25">
      <c r="A207" t="str">
        <f>'0_Entrada'!A207</f>
        <v>CANTON_SAN MIGUEL DE URCUQUI</v>
      </c>
      <c r="B207" t="b">
        <f>'0_Entrada'!B207</f>
        <v>0</v>
      </c>
      <c r="C207">
        <f>Scaler!B207</f>
        <v>4.0658670461475908E-4</v>
      </c>
      <c r="D207">
        <f>Scaler!C207</f>
        <v>2.015989563133673E-2</v>
      </c>
      <c r="E207">
        <f t="shared" si="3"/>
        <v>-2.0168095710910175E-2</v>
      </c>
    </row>
    <row r="208" spans="1:5" x14ac:dyDescent="0.25">
      <c r="A208" t="str">
        <f>'0_Entrada'!A208</f>
        <v>CANTON_SAN PEDRO DE PELILEO</v>
      </c>
      <c r="B208" t="b">
        <f>'0_Entrada'!B208</f>
        <v>0</v>
      </c>
      <c r="C208">
        <f>Scaler!B208</f>
        <v>5.0823338076844878E-5</v>
      </c>
      <c r="D208">
        <f>Scaler!C208</f>
        <v>7.1288677267257261E-3</v>
      </c>
      <c r="E208">
        <f t="shared" si="3"/>
        <v>-7.1292300579951888E-3</v>
      </c>
    </row>
    <row r="209" spans="1:5" x14ac:dyDescent="0.25">
      <c r="A209" t="str">
        <f>'0_Entrada'!A209</f>
        <v>CANTON_SAN VICENTE</v>
      </c>
      <c r="B209" t="b">
        <f>'0_Entrada'!B209</f>
        <v>0</v>
      </c>
      <c r="C209">
        <f>Scaler!B209</f>
        <v>3.5576336653791421E-4</v>
      </c>
      <c r="D209">
        <f>Scaler!C209</f>
        <v>1.885833499980695E-2</v>
      </c>
      <c r="E209">
        <f t="shared" si="3"/>
        <v>-1.886504649225693E-2</v>
      </c>
    </row>
    <row r="210" spans="1:5" x14ac:dyDescent="0.25">
      <c r="A210" t="str">
        <f>'0_Entrada'!A210</f>
        <v>CANTON_SANTA ANA</v>
      </c>
      <c r="B210" t="b">
        <f>'0_Entrada'!B210</f>
        <v>0</v>
      </c>
      <c r="C210">
        <f>Scaler!B210</f>
        <v>5.5905671884529378E-4</v>
      </c>
      <c r="D210">
        <f>Scaler!C210</f>
        <v>2.363777008159627E-2</v>
      </c>
      <c r="E210">
        <f t="shared" si="3"/>
        <v>-2.3650992327764464E-2</v>
      </c>
    </row>
    <row r="211" spans="1:5" x14ac:dyDescent="0.25">
      <c r="A211" t="str">
        <f>'0_Entrada'!A211</f>
        <v>CANTON_SANTA CRUZ</v>
      </c>
      <c r="B211" t="b">
        <f>'0_Entrada'!B211</f>
        <v>0</v>
      </c>
      <c r="C211">
        <f>Scaler!B211</f>
        <v>1.016466761536898E-4</v>
      </c>
      <c r="D211">
        <f>Scaler!C211</f>
        <v>1.008148521334613E-2</v>
      </c>
      <c r="E211">
        <f t="shared" si="3"/>
        <v>-1.0082510066981729E-2</v>
      </c>
    </row>
    <row r="212" spans="1:5" x14ac:dyDescent="0.25">
      <c r="A212" t="str">
        <f>'0_Entrada'!A212</f>
        <v>CANTON_SANTA ELENA</v>
      </c>
      <c r="B212" t="b">
        <f>'0_Entrada'!B212</f>
        <v>0</v>
      </c>
      <c r="C212">
        <f>Scaler!B212</f>
        <v>1.036796096767636E-2</v>
      </c>
      <c r="D212">
        <f>Scaler!C212</f>
        <v>0.10129396010152381</v>
      </c>
      <c r="E212">
        <f t="shared" si="3"/>
        <v>-0.10235517455616182</v>
      </c>
    </row>
    <row r="213" spans="1:5" x14ac:dyDescent="0.25">
      <c r="A213" t="str">
        <f>'0_Entrada'!A213</f>
        <v>CANTON_SANTA ISABEL</v>
      </c>
      <c r="B213" t="b">
        <f>'0_Entrada'!B213</f>
        <v>0</v>
      </c>
      <c r="C213">
        <f>Scaler!B213</f>
        <v>1.321406789997967E-3</v>
      </c>
      <c r="D213">
        <f>Scaler!C213</f>
        <v>3.6327134129921598E-2</v>
      </c>
      <c r="E213">
        <f t="shared" si="3"/>
        <v>-3.6375200566938277E-2</v>
      </c>
    </row>
    <row r="214" spans="1:5" x14ac:dyDescent="0.25">
      <c r="A214" t="str">
        <f>'0_Entrada'!A214</f>
        <v>CANTON_SANTA LUCIA</v>
      </c>
      <c r="B214" t="b">
        <f>'0_Entrada'!B214</f>
        <v>0</v>
      </c>
      <c r="C214">
        <f>Scaler!B214</f>
        <v>1.7788168326895711E-3</v>
      </c>
      <c r="D214">
        <f>Scaler!C214</f>
        <v>4.2138493605791263E-2</v>
      </c>
      <c r="E214">
        <f t="shared" si="3"/>
        <v>-4.2213583839292752E-2</v>
      </c>
    </row>
    <row r="215" spans="1:5" x14ac:dyDescent="0.25">
      <c r="A215" t="str">
        <f>'0_Entrada'!A215</f>
        <v>CANTON_SANTA ROSA</v>
      </c>
      <c r="B215" t="b">
        <f>'0_Entrada'!B215</f>
        <v>0</v>
      </c>
      <c r="C215">
        <f>Scaler!B215</f>
        <v>1.4230534661516571E-3</v>
      </c>
      <c r="D215">
        <f>Scaler!C215</f>
        <v>3.7696530145149038E-2</v>
      </c>
      <c r="E215">
        <f t="shared" si="3"/>
        <v>-3.7750250770355903E-2</v>
      </c>
    </row>
    <row r="216" spans="1:5" x14ac:dyDescent="0.25">
      <c r="A216" t="str">
        <f>'0_Entrada'!A216</f>
        <v>CANTON_SANTIAGO</v>
      </c>
      <c r="B216" t="b">
        <f>'0_Entrada'!B216</f>
        <v>0</v>
      </c>
      <c r="C216">
        <f>Scaler!B216</f>
        <v>7.6235007115267334E-4</v>
      </c>
      <c r="D216">
        <f>Scaler!C216</f>
        <v>2.7600161114053071E-2</v>
      </c>
      <c r="E216">
        <f t="shared" si="3"/>
        <v>-2.762121815167631E-2</v>
      </c>
    </row>
    <row r="217" spans="1:5" x14ac:dyDescent="0.25">
      <c r="A217" t="str">
        <f>'0_Entrada'!A217</f>
        <v>CANTON_SANTIAGO DE PILLARO</v>
      </c>
      <c r="B217" t="b">
        <f>'0_Entrada'!B217</f>
        <v>0</v>
      </c>
      <c r="C217">
        <f>Scaler!B217</f>
        <v>6.6070339499898351E-4</v>
      </c>
      <c r="D217">
        <f>Scaler!C217</f>
        <v>2.5695658505335499E-2</v>
      </c>
      <c r="E217">
        <f t="shared" si="3"/>
        <v>-2.571264693846214E-2</v>
      </c>
    </row>
    <row r="218" spans="1:5" x14ac:dyDescent="0.25">
      <c r="A218" t="str">
        <f>'0_Entrada'!A218</f>
        <v>CANTON_SANTO DOMINGO</v>
      </c>
      <c r="B218" t="b">
        <f>'0_Entrada'!B218</f>
        <v>0</v>
      </c>
      <c r="C218">
        <f>Scaler!B218</f>
        <v>4.7977231144541582E-2</v>
      </c>
      <c r="D218">
        <f>Scaler!C218</f>
        <v>0.21371807699922071</v>
      </c>
      <c r="E218">
        <f t="shared" si="3"/>
        <v>-0.22448840930155162</v>
      </c>
    </row>
    <row r="219" spans="1:5" x14ac:dyDescent="0.25">
      <c r="A219" t="str">
        <f>'0_Entrada'!A219</f>
        <v>CANTON_SAQUISILI</v>
      </c>
      <c r="B219" t="b">
        <f>'0_Entrada'!B219</f>
        <v>0</v>
      </c>
      <c r="C219">
        <f>Scaler!B219</f>
        <v>1.016466761536898E-4</v>
      </c>
      <c r="D219">
        <f>Scaler!C219</f>
        <v>1.008148521334613E-2</v>
      </c>
      <c r="E219">
        <f t="shared" si="3"/>
        <v>-1.0082510066981729E-2</v>
      </c>
    </row>
    <row r="220" spans="1:5" x14ac:dyDescent="0.25">
      <c r="A220" t="str">
        <f>'0_Entrada'!A220</f>
        <v>CANTON_SARAGURO</v>
      </c>
      <c r="B220" t="b">
        <f>'0_Entrada'!B220</f>
        <v>0</v>
      </c>
      <c r="C220">
        <f>Scaler!B220</f>
        <v>3.0494002846106929E-4</v>
      </c>
      <c r="D220">
        <f>Scaler!C220</f>
        <v>1.7459869416467912E-2</v>
      </c>
      <c r="E220">
        <f t="shared" si="3"/>
        <v>-1.7465195253605618E-2</v>
      </c>
    </row>
    <row r="221" spans="1:5" x14ac:dyDescent="0.25">
      <c r="A221" t="str">
        <f>'0_Entrada'!A221</f>
        <v>CANTON_SEVILLA DE ORO</v>
      </c>
      <c r="B221" t="b">
        <f>'0_Entrada'!B221</f>
        <v>0</v>
      </c>
      <c r="C221">
        <f>Scaler!B221</f>
        <v>5.0823338076844878E-5</v>
      </c>
      <c r="D221">
        <f>Scaler!C221</f>
        <v>7.1288677267257261E-3</v>
      </c>
      <c r="E221">
        <f t="shared" si="3"/>
        <v>-7.1292300579951888E-3</v>
      </c>
    </row>
    <row r="222" spans="1:5" x14ac:dyDescent="0.25">
      <c r="A222" t="str">
        <f>'0_Entrada'!A222</f>
        <v>CANTON_SHUSHUFINDI</v>
      </c>
      <c r="B222" t="b">
        <f>'0_Entrada'!B222</f>
        <v>0</v>
      </c>
      <c r="C222">
        <f>Scaler!B222</f>
        <v>2.5411669038422438E-4</v>
      </c>
      <c r="D222">
        <f>Scaler!C222</f>
        <v>1.5939012362498891E-2</v>
      </c>
      <c r="E222">
        <f t="shared" si="3"/>
        <v>-1.594306376109645E-2</v>
      </c>
    </row>
    <row r="223" spans="1:5" x14ac:dyDescent="0.25">
      <c r="A223" t="str">
        <f>'0_Entrada'!A223</f>
        <v>CANTON_SIGCHOS</v>
      </c>
      <c r="B223" t="b">
        <f>'0_Entrada'!B223</f>
        <v>0</v>
      </c>
      <c r="C223">
        <f>Scaler!B223</f>
        <v>2.5411669038422438E-4</v>
      </c>
      <c r="D223">
        <f>Scaler!C223</f>
        <v>1.5939012362498891E-2</v>
      </c>
      <c r="E223">
        <f t="shared" si="3"/>
        <v>-1.594306376109645E-2</v>
      </c>
    </row>
    <row r="224" spans="1:5" x14ac:dyDescent="0.25">
      <c r="A224" t="str">
        <f>'0_Entrada'!A224</f>
        <v>CANTON_SIGSIG</v>
      </c>
      <c r="B224" t="b">
        <f>'0_Entrada'!B224</f>
        <v>0</v>
      </c>
      <c r="C224">
        <f>Scaler!B224</f>
        <v>5.0823338076844886E-4</v>
      </c>
      <c r="D224">
        <f>Scaler!C224</f>
        <v>2.2538302500390791E-2</v>
      </c>
      <c r="E224">
        <f t="shared" si="3"/>
        <v>-2.2549763042697499E-2</v>
      </c>
    </row>
    <row r="225" spans="1:5" x14ac:dyDescent="0.25">
      <c r="A225" t="str">
        <f>'0_Entrada'!A225</f>
        <v>CANTON_SIMON BOLIVAR</v>
      </c>
      <c r="B225" t="b">
        <f>'0_Entrada'!B225</f>
        <v>0</v>
      </c>
      <c r="C225">
        <f>Scaler!B225</f>
        <v>2.28705021345802E-3</v>
      </c>
      <c r="D225">
        <f>Scaler!C225</f>
        <v>4.7768395564213181E-2</v>
      </c>
      <c r="E225">
        <f t="shared" si="3"/>
        <v>-4.7877894713537698E-2</v>
      </c>
    </row>
    <row r="226" spans="1:5" x14ac:dyDescent="0.25">
      <c r="A226" t="str">
        <f>'0_Entrada'!A226</f>
        <v>CANTON_SUCRE</v>
      </c>
      <c r="B226" t="b">
        <f>'0_Entrada'!B226</f>
        <v>0</v>
      </c>
      <c r="C226">
        <f>Scaler!B226</f>
        <v>2.032933523073795E-3</v>
      </c>
      <c r="D226">
        <f>Scaler!C226</f>
        <v>4.5042210251768931E-2</v>
      </c>
      <c r="E226">
        <f t="shared" si="3"/>
        <v>-4.5133964601436406E-2</v>
      </c>
    </row>
    <row r="227" spans="1:5" x14ac:dyDescent="0.25">
      <c r="A227" t="str">
        <f>'0_Entrada'!A227</f>
        <v>CANTON_SUCUA</v>
      </c>
      <c r="B227" t="b">
        <f>'0_Entrada'!B227</f>
        <v>0</v>
      </c>
      <c r="C227">
        <f>Scaler!B227</f>
        <v>9.6564342346005291E-4</v>
      </c>
      <c r="D227">
        <f>Scaler!C227</f>
        <v>3.1059796461644459E-2</v>
      </c>
      <c r="E227">
        <f t="shared" si="3"/>
        <v>-3.1089818140067973E-2</v>
      </c>
    </row>
    <row r="228" spans="1:5" x14ac:dyDescent="0.25">
      <c r="A228" t="str">
        <f>'0_Entrada'!A228</f>
        <v>CANTON_SUCUMBIOS</v>
      </c>
      <c r="B228" t="b">
        <f>'0_Entrada'!B228</f>
        <v>0</v>
      </c>
      <c r="C228">
        <f>Scaler!B228</f>
        <v>3.5576336653791421E-4</v>
      </c>
      <c r="D228">
        <f>Scaler!C228</f>
        <v>1.885833499980695E-2</v>
      </c>
      <c r="E228">
        <f t="shared" si="3"/>
        <v>-1.886504649225693E-2</v>
      </c>
    </row>
    <row r="229" spans="1:5" x14ac:dyDescent="0.25">
      <c r="A229" t="str">
        <f>'0_Entrada'!A229</f>
        <v>CANTON_TAISHA</v>
      </c>
      <c r="B229" t="b">
        <f>'0_Entrada'!B229</f>
        <v>0</v>
      </c>
      <c r="C229">
        <f>Scaler!B229</f>
        <v>1.016466761536898E-4</v>
      </c>
      <c r="D229">
        <f>Scaler!C229</f>
        <v>1.008148521334613E-2</v>
      </c>
      <c r="E229">
        <f t="shared" si="3"/>
        <v>-1.0082510066981729E-2</v>
      </c>
    </row>
    <row r="230" spans="1:5" x14ac:dyDescent="0.25">
      <c r="A230" t="str">
        <f>'0_Entrada'!A230</f>
        <v>CANTON_TENA</v>
      </c>
      <c r="B230" t="b">
        <f>'0_Entrada'!B230</f>
        <v>0</v>
      </c>
      <c r="C230">
        <f>Scaler!B230</f>
        <v>1.6263468184590361E-3</v>
      </c>
      <c r="D230">
        <f>Scaler!C230</f>
        <v>4.029518351472202E-2</v>
      </c>
      <c r="E230">
        <f t="shared" si="3"/>
        <v>-4.0360824212770818E-2</v>
      </c>
    </row>
    <row r="231" spans="1:5" x14ac:dyDescent="0.25">
      <c r="A231" t="str">
        <f>'0_Entrada'!A231</f>
        <v>CANTON_TIWINTZA</v>
      </c>
      <c r="B231" t="b">
        <f>'0_Entrada'!B231</f>
        <v>0</v>
      </c>
      <c r="C231">
        <f>Scaler!B231</f>
        <v>5.0823338076844878E-5</v>
      </c>
      <c r="D231">
        <f>Scaler!C231</f>
        <v>7.1288677267257261E-3</v>
      </c>
      <c r="E231">
        <f t="shared" si="3"/>
        <v>-7.1292300579951888E-3</v>
      </c>
    </row>
    <row r="232" spans="1:5" x14ac:dyDescent="0.25">
      <c r="A232" t="str">
        <f>'0_Entrada'!A232</f>
        <v>CANTON_TOSAGUA</v>
      </c>
      <c r="B232" t="b">
        <f>'0_Entrada'!B232</f>
        <v>0</v>
      </c>
      <c r="C232">
        <f>Scaler!B232</f>
        <v>1.575523480382192E-3</v>
      </c>
      <c r="D232">
        <f>Scaler!C232</f>
        <v>3.9661583505263082E-2</v>
      </c>
      <c r="E232">
        <f t="shared" si="3"/>
        <v>-3.9724169867628216E-2</v>
      </c>
    </row>
    <row r="233" spans="1:5" x14ac:dyDescent="0.25">
      <c r="A233" t="str">
        <f>'0_Entrada'!A233</f>
        <v>CANTON_TULCAN</v>
      </c>
      <c r="B233" t="b">
        <f>'0_Entrada'!B233</f>
        <v>0</v>
      </c>
      <c r="C233">
        <f>Scaler!B233</f>
        <v>1.3722301280748119E-3</v>
      </c>
      <c r="D233">
        <f>Scaler!C233</f>
        <v>3.7018199747562222E-2</v>
      </c>
      <c r="E233">
        <f t="shared" si="3"/>
        <v>-3.7069067038171623E-2</v>
      </c>
    </row>
    <row r="234" spans="1:5" x14ac:dyDescent="0.25">
      <c r="A234" t="str">
        <f>'0_Entrada'!A234</f>
        <v>CANTON_VALENCIA</v>
      </c>
      <c r="B234" t="b">
        <f>'0_Entrada'!B234</f>
        <v>0</v>
      </c>
      <c r="C234">
        <f>Scaler!B234</f>
        <v>6.098800569221387E-4</v>
      </c>
      <c r="D234">
        <f>Scaler!C234</f>
        <v>2.4688217903249061E-2</v>
      </c>
      <c r="E234">
        <f t="shared" si="3"/>
        <v>-2.4703283943466662E-2</v>
      </c>
    </row>
    <row r="235" spans="1:5" x14ac:dyDescent="0.25">
      <c r="A235" t="str">
        <f>'0_Entrada'!A235</f>
        <v>CANTON_VENTANAS</v>
      </c>
      <c r="B235" t="b">
        <f>'0_Entrada'!B235</f>
        <v>0</v>
      </c>
      <c r="C235">
        <f>Scaler!B235</f>
        <v>3.252693636918073E-3</v>
      </c>
      <c r="D235">
        <f>Scaler!C235</f>
        <v>5.6939561124251963E-2</v>
      </c>
      <c r="E235">
        <f t="shared" si="3"/>
        <v>-5.7125372459758399E-2</v>
      </c>
    </row>
    <row r="236" spans="1:5" x14ac:dyDescent="0.25">
      <c r="A236" t="str">
        <f>'0_Entrada'!A236</f>
        <v>CANTON_VINCES</v>
      </c>
      <c r="B236" t="b">
        <f>'0_Entrada'!B236</f>
        <v>0</v>
      </c>
      <c r="C236">
        <f>Scaler!B236</f>
        <v>1.931286846920106E-3</v>
      </c>
      <c r="D236">
        <f>Scaler!C236</f>
        <v>4.3903951735977241E-2</v>
      </c>
      <c r="E236">
        <f t="shared" si="3"/>
        <v>-4.3988906933348018E-2</v>
      </c>
    </row>
    <row r="237" spans="1:5" x14ac:dyDescent="0.25">
      <c r="A237" t="str">
        <f>'0_Entrada'!A237</f>
        <v>CANTON_YANTZAZA</v>
      </c>
      <c r="B237" t="b">
        <f>'0_Entrada'!B237</f>
        <v>0</v>
      </c>
      <c r="C237">
        <f>Scaler!B237</f>
        <v>4.0658670461475908E-4</v>
      </c>
      <c r="D237">
        <f>Scaler!C237</f>
        <v>2.015989563133673E-2</v>
      </c>
      <c r="E237">
        <f t="shared" si="3"/>
        <v>-2.0168095710910175E-2</v>
      </c>
    </row>
    <row r="238" spans="1:5" x14ac:dyDescent="0.25">
      <c r="A238" t="str">
        <f>'0_Entrada'!A238</f>
        <v>CANTON_ZAMORA</v>
      </c>
      <c r="B238" t="b">
        <f>'0_Entrada'!B238</f>
        <v>0</v>
      </c>
      <c r="C238">
        <f>Scaler!B238</f>
        <v>1.473876804228502E-3</v>
      </c>
      <c r="D238">
        <f>Scaler!C238</f>
        <v>3.8362800880468298E-2</v>
      </c>
      <c r="E238">
        <f t="shared" si="3"/>
        <v>-3.8419426381844264E-2</v>
      </c>
    </row>
    <row r="239" spans="1:5" x14ac:dyDescent="0.25">
      <c r="A239" t="str">
        <f>'0_Entrada'!A239</f>
        <v>CANTON_ZAPOTILLO</v>
      </c>
      <c r="B239" t="b">
        <f>'0_Entrada'!B239</f>
        <v>0</v>
      </c>
      <c r="C239">
        <f>Scaler!B239</f>
        <v>2.0329335230737951E-4</v>
      </c>
      <c r="D239">
        <f>Scaler!C239</f>
        <v>1.42566484182043E-2</v>
      </c>
      <c r="E239">
        <f t="shared" si="3"/>
        <v>-1.4259547289375141E-2</v>
      </c>
    </row>
    <row r="240" spans="1:5" x14ac:dyDescent="0.25">
      <c r="A240" t="str">
        <f>'0_Entrada'!A240</f>
        <v>CANTON_ZARUMA</v>
      </c>
      <c r="B240" t="b">
        <f>'0_Entrada'!B240</f>
        <v>0</v>
      </c>
      <c r="C240">
        <f>Scaler!B240</f>
        <v>5.5905671884529378E-4</v>
      </c>
      <c r="D240">
        <f>Scaler!C240</f>
        <v>2.363777008159627E-2</v>
      </c>
      <c r="E240">
        <f t="shared" si="3"/>
        <v>-2.3650992327764464E-2</v>
      </c>
    </row>
    <row r="241" spans="1:5" x14ac:dyDescent="0.25">
      <c r="A241" t="str">
        <f>'0_Entrada'!A241</f>
        <v>ZONA_RURAL</v>
      </c>
      <c r="B241" t="b">
        <f>'0_Entrada'!B241</f>
        <v>0</v>
      </c>
      <c r="C241">
        <f>Scaler!B241</f>
        <v>0.34971538930676971</v>
      </c>
      <c r="D241">
        <f>Scaler!C241</f>
        <v>0.47688000145611492</v>
      </c>
      <c r="E241">
        <f t="shared" si="3"/>
        <v>-0.7333404383470512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7FCEB-F65E-48A7-A61A-B759C08096F2}">
  <dimension ref="A1:C51"/>
  <sheetViews>
    <sheetView workbookViewId="0">
      <selection activeCell="B2" sqref="B2"/>
    </sheetView>
  </sheetViews>
  <sheetFormatPr baseColWidth="10" defaultRowHeight="15" x14ac:dyDescent="0.25"/>
  <sheetData>
    <row r="1" spans="1:3" x14ac:dyDescent="0.25">
      <c r="A1" t="s">
        <v>261</v>
      </c>
      <c r="B1" t="s">
        <v>262</v>
      </c>
      <c r="C1" t="s">
        <v>263</v>
      </c>
    </row>
    <row r="2" spans="1:3" x14ac:dyDescent="0.25">
      <c r="A2">
        <v>1</v>
      </c>
      <c r="B2" cm="1">
        <f t="array" ref="B2">SUMPRODUCT('1_Estandarizacion'!$E$2:$E$242,INDEX(Capa1_Pesos!$A$1:$AX$241,0,A2))+INDEX(Capa1_Sesgos!$A$2:$A$51,A2)</f>
        <v>-0.79640333326451673</v>
      </c>
      <c r="C2">
        <f>MAX(0,B2)</f>
        <v>0</v>
      </c>
    </row>
    <row r="3" spans="1:3" x14ac:dyDescent="0.25">
      <c r="A3">
        <f>1+A2</f>
        <v>2</v>
      </c>
      <c r="B3" cm="1">
        <f t="array" ref="B3">SUMPRODUCT('1_Estandarizacion'!$E$2:$E$242,INDEX(Capa1_Pesos!$A$1:$AX$241,0,A3))+INDEX(Capa1_Sesgos!$A$2:$A$51,A3)</f>
        <v>6.6725186575842588E-2</v>
      </c>
      <c r="C3">
        <f t="shared" ref="C3:C51" si="0">MAX(0,B3)</f>
        <v>6.6725186575842588E-2</v>
      </c>
    </row>
    <row r="4" spans="1:3" x14ac:dyDescent="0.25">
      <c r="A4">
        <f t="shared" ref="A4:A50" si="1">1+A3</f>
        <v>3</v>
      </c>
      <c r="B4" cm="1">
        <f t="array" ref="B4">SUMPRODUCT('1_Estandarizacion'!$E$2:$E$242,INDEX(Capa1_Pesos!$A$1:$AX$241,0,A4))+INDEX(Capa1_Sesgos!$A$2:$A$51,A4)</f>
        <v>-3.1777662969292715</v>
      </c>
      <c r="C4">
        <f t="shared" si="0"/>
        <v>0</v>
      </c>
    </row>
    <row r="5" spans="1:3" x14ac:dyDescent="0.25">
      <c r="A5">
        <f t="shared" si="1"/>
        <v>4</v>
      </c>
      <c r="B5" cm="1">
        <f t="array" ref="B5">SUMPRODUCT('1_Estandarizacion'!$E$2:$E$242,INDEX(Capa1_Pesos!$A$1:$AX$241,0,A5))+INDEX(Capa1_Sesgos!$A$2:$A$51,A5)</f>
        <v>-3.2175174682529377</v>
      </c>
      <c r="C5">
        <f t="shared" si="0"/>
        <v>0</v>
      </c>
    </row>
    <row r="6" spans="1:3" x14ac:dyDescent="0.25">
      <c r="A6">
        <f t="shared" si="1"/>
        <v>5</v>
      </c>
      <c r="B6" cm="1">
        <f t="array" ref="B6">SUMPRODUCT('1_Estandarizacion'!$E$2:$E$242,INDEX(Capa1_Pesos!$A$1:$AX$241,0,A6))+INDEX(Capa1_Sesgos!$A$2:$A$51,A6)</f>
        <v>2.0826131817692111</v>
      </c>
      <c r="C6">
        <f t="shared" si="0"/>
        <v>2.0826131817692111</v>
      </c>
    </row>
    <row r="7" spans="1:3" x14ac:dyDescent="0.25">
      <c r="A7">
        <f t="shared" si="1"/>
        <v>6</v>
      </c>
      <c r="B7" cm="1">
        <f t="array" ref="B7">SUMPRODUCT('1_Estandarizacion'!$E$2:$E$242,INDEX(Capa1_Pesos!$A$1:$AX$241,0,A7))+INDEX(Capa1_Sesgos!$A$2:$A$51,A7)</f>
        <v>3.5879834379661801E-3</v>
      </c>
      <c r="C7">
        <f t="shared" si="0"/>
        <v>3.5879834379661801E-3</v>
      </c>
    </row>
    <row r="8" spans="1:3" x14ac:dyDescent="0.25">
      <c r="A8">
        <f t="shared" si="1"/>
        <v>7</v>
      </c>
      <c r="B8" cm="1">
        <f t="array" ref="B8">SUMPRODUCT('1_Estandarizacion'!$E$2:$E$242,INDEX(Capa1_Pesos!$A$1:$AX$241,0,A8))+INDEX(Capa1_Sesgos!$A$2:$A$51,A8)</f>
        <v>-5.3050153023856055</v>
      </c>
      <c r="C8">
        <f t="shared" si="0"/>
        <v>0</v>
      </c>
    </row>
    <row r="9" spans="1:3" x14ac:dyDescent="0.25">
      <c r="A9">
        <f t="shared" si="1"/>
        <v>8</v>
      </c>
      <c r="B9" cm="1">
        <f t="array" ref="B9">SUMPRODUCT('1_Estandarizacion'!$E$2:$E$242,INDEX(Capa1_Pesos!$A$1:$AX$241,0,A9))+INDEX(Capa1_Sesgos!$A$2:$A$51,A9)</f>
        <v>1.5982090996071769</v>
      </c>
      <c r="C9">
        <f t="shared" si="0"/>
        <v>1.5982090996071769</v>
      </c>
    </row>
    <row r="10" spans="1:3" x14ac:dyDescent="0.25">
      <c r="A10">
        <f t="shared" si="1"/>
        <v>9</v>
      </c>
      <c r="B10" cm="1">
        <f t="array" ref="B10">SUMPRODUCT('1_Estandarizacion'!$E$2:$E$242,INDEX(Capa1_Pesos!$A$1:$AX$241,0,A10))+INDEX(Capa1_Sesgos!$A$2:$A$51,A10)</f>
        <v>0.93264733861746363</v>
      </c>
      <c r="C10">
        <f t="shared" si="0"/>
        <v>0.93264733861746363</v>
      </c>
    </row>
    <row r="11" spans="1:3" x14ac:dyDescent="0.25">
      <c r="A11">
        <f t="shared" si="1"/>
        <v>10</v>
      </c>
      <c r="B11" cm="1">
        <f t="array" ref="B11">SUMPRODUCT('1_Estandarizacion'!$E$2:$E$242,INDEX(Capa1_Pesos!$A$1:$AX$241,0,A11))+INDEX(Capa1_Sesgos!$A$2:$A$51,A11)</f>
        <v>-3.8822432068803545</v>
      </c>
      <c r="C11">
        <f t="shared" si="0"/>
        <v>0</v>
      </c>
    </row>
    <row r="12" spans="1:3" x14ac:dyDescent="0.25">
      <c r="A12">
        <f t="shared" si="1"/>
        <v>11</v>
      </c>
      <c r="B12" cm="1">
        <f t="array" ref="B12">SUMPRODUCT('1_Estandarizacion'!$E$2:$E$242,INDEX(Capa1_Pesos!$A$1:$AX$241,0,A12))+INDEX(Capa1_Sesgos!$A$2:$A$51,A12)</f>
        <v>-6.7904770466287063</v>
      </c>
      <c r="C12">
        <f t="shared" si="0"/>
        <v>0</v>
      </c>
    </row>
    <row r="13" spans="1:3" x14ac:dyDescent="0.25">
      <c r="A13">
        <f t="shared" si="1"/>
        <v>12</v>
      </c>
      <c r="B13" cm="1">
        <f t="array" ref="B13">SUMPRODUCT('1_Estandarizacion'!$E$2:$E$242,INDEX(Capa1_Pesos!$A$1:$AX$241,0,A13))+INDEX(Capa1_Sesgos!$A$2:$A$51,A13)</f>
        <v>2.1760085196546659</v>
      </c>
      <c r="C13">
        <f t="shared" si="0"/>
        <v>2.1760085196546659</v>
      </c>
    </row>
    <row r="14" spans="1:3" x14ac:dyDescent="0.25">
      <c r="A14">
        <f t="shared" si="1"/>
        <v>13</v>
      </c>
      <c r="B14" cm="1">
        <f t="array" ref="B14">SUMPRODUCT('1_Estandarizacion'!$E$2:$E$242,INDEX(Capa1_Pesos!$A$1:$AX$241,0,A14))+INDEX(Capa1_Sesgos!$A$2:$A$51,A14)</f>
        <v>-7.3796544763563681</v>
      </c>
      <c r="C14">
        <f t="shared" si="0"/>
        <v>0</v>
      </c>
    </row>
    <row r="15" spans="1:3" x14ac:dyDescent="0.25">
      <c r="A15">
        <f t="shared" si="1"/>
        <v>14</v>
      </c>
      <c r="B15" cm="1">
        <f t="array" ref="B15">SUMPRODUCT('1_Estandarizacion'!$E$2:$E$242,INDEX(Capa1_Pesos!$A$1:$AX$241,0,A15))+INDEX(Capa1_Sesgos!$A$2:$A$51,A15)</f>
        <v>-0.73738346989805148</v>
      </c>
      <c r="C15">
        <f t="shared" si="0"/>
        <v>0</v>
      </c>
    </row>
    <row r="16" spans="1:3" x14ac:dyDescent="0.25">
      <c r="A16">
        <f t="shared" si="1"/>
        <v>15</v>
      </c>
      <c r="B16" cm="1">
        <f t="array" ref="B16">SUMPRODUCT('1_Estandarizacion'!$E$2:$E$242,INDEX(Capa1_Pesos!$A$1:$AX$241,0,A16))+INDEX(Capa1_Sesgos!$A$2:$A$51,A16)</f>
        <v>-4.6805637589661746</v>
      </c>
      <c r="C16">
        <f t="shared" si="0"/>
        <v>0</v>
      </c>
    </row>
    <row r="17" spans="1:3" x14ac:dyDescent="0.25">
      <c r="A17">
        <f t="shared" si="1"/>
        <v>16</v>
      </c>
      <c r="B17" cm="1">
        <f t="array" ref="B17">SUMPRODUCT('1_Estandarizacion'!$E$2:$E$242,INDEX(Capa1_Pesos!$A$1:$AX$241,0,A17))+INDEX(Capa1_Sesgos!$A$2:$A$51,A17)</f>
        <v>-1.7027516564790071</v>
      </c>
      <c r="C17">
        <f t="shared" si="0"/>
        <v>0</v>
      </c>
    </row>
    <row r="18" spans="1:3" x14ac:dyDescent="0.25">
      <c r="A18">
        <f t="shared" si="1"/>
        <v>17</v>
      </c>
      <c r="B18" cm="1">
        <f t="array" ref="B18">SUMPRODUCT('1_Estandarizacion'!$E$2:$E$242,INDEX(Capa1_Pesos!$A$1:$AX$241,0,A18))+INDEX(Capa1_Sesgos!$A$2:$A$51,A18)</f>
        <v>-1.1788400445530021</v>
      </c>
      <c r="C18">
        <f t="shared" si="0"/>
        <v>0</v>
      </c>
    </row>
    <row r="19" spans="1:3" x14ac:dyDescent="0.25">
      <c r="A19">
        <f t="shared" si="1"/>
        <v>18</v>
      </c>
      <c r="B19" cm="1">
        <f t="array" ref="B19">SUMPRODUCT('1_Estandarizacion'!$E$2:$E$242,INDEX(Capa1_Pesos!$A$1:$AX$241,0,A19))+INDEX(Capa1_Sesgos!$A$2:$A$51,A19)</f>
        <v>-8.8294952066279713</v>
      </c>
      <c r="C19">
        <f t="shared" si="0"/>
        <v>0</v>
      </c>
    </row>
    <row r="20" spans="1:3" x14ac:dyDescent="0.25">
      <c r="A20">
        <f t="shared" si="1"/>
        <v>19</v>
      </c>
      <c r="B20" cm="1">
        <f t="array" ref="B20">SUMPRODUCT('1_Estandarizacion'!$E$2:$E$242,INDEX(Capa1_Pesos!$A$1:$AX$241,0,A20))+INDEX(Capa1_Sesgos!$A$2:$A$51,A20)</f>
        <v>0.41566451556829009</v>
      </c>
      <c r="C20">
        <f t="shared" si="0"/>
        <v>0.41566451556829009</v>
      </c>
    </row>
    <row r="21" spans="1:3" x14ac:dyDescent="0.25">
      <c r="A21">
        <f t="shared" si="1"/>
        <v>20</v>
      </c>
      <c r="B21" cm="1">
        <f t="array" ref="B21">SUMPRODUCT('1_Estandarizacion'!$E$2:$E$242,INDEX(Capa1_Pesos!$A$1:$AX$241,0,A21))+INDEX(Capa1_Sesgos!$A$2:$A$51,A21)</f>
        <v>-1.9478611929922487</v>
      </c>
      <c r="C21">
        <f t="shared" si="0"/>
        <v>0</v>
      </c>
    </row>
    <row r="22" spans="1:3" x14ac:dyDescent="0.25">
      <c r="A22">
        <f t="shared" si="1"/>
        <v>21</v>
      </c>
      <c r="B22" cm="1">
        <f t="array" ref="B22">SUMPRODUCT('1_Estandarizacion'!$E$2:$E$242,INDEX(Capa1_Pesos!$A$1:$AX$241,0,A22))+INDEX(Capa1_Sesgos!$A$2:$A$51,A22)</f>
        <v>1.722064265465858</v>
      </c>
      <c r="C22">
        <f t="shared" si="0"/>
        <v>1.722064265465858</v>
      </c>
    </row>
    <row r="23" spans="1:3" x14ac:dyDescent="0.25">
      <c r="A23">
        <f t="shared" si="1"/>
        <v>22</v>
      </c>
      <c r="B23" cm="1">
        <f t="array" ref="B23">SUMPRODUCT('1_Estandarizacion'!$E$2:$E$242,INDEX(Capa1_Pesos!$A$1:$AX$241,0,A23))+INDEX(Capa1_Sesgos!$A$2:$A$51,A23)</f>
        <v>3.4759666851667541</v>
      </c>
      <c r="C23">
        <f t="shared" si="0"/>
        <v>3.4759666851667541</v>
      </c>
    </row>
    <row r="24" spans="1:3" x14ac:dyDescent="0.25">
      <c r="A24">
        <f t="shared" si="1"/>
        <v>23</v>
      </c>
      <c r="B24" cm="1">
        <f t="array" ref="B24">SUMPRODUCT('1_Estandarizacion'!$E$2:$E$242,INDEX(Capa1_Pesos!$A$1:$AX$241,0,A24))+INDEX(Capa1_Sesgos!$A$2:$A$51,A24)</f>
        <v>-4.7721128682549985</v>
      </c>
      <c r="C24">
        <f t="shared" si="0"/>
        <v>0</v>
      </c>
    </row>
    <row r="25" spans="1:3" x14ac:dyDescent="0.25">
      <c r="A25">
        <f t="shared" si="1"/>
        <v>24</v>
      </c>
      <c r="B25" cm="1">
        <f t="array" ref="B25">SUMPRODUCT('1_Estandarizacion'!$E$2:$E$242,INDEX(Capa1_Pesos!$A$1:$AX$241,0,A25))+INDEX(Capa1_Sesgos!$A$2:$A$51,A25)</f>
        <v>-1.1397263411253267</v>
      </c>
      <c r="C25">
        <f t="shared" si="0"/>
        <v>0</v>
      </c>
    </row>
    <row r="26" spans="1:3" x14ac:dyDescent="0.25">
      <c r="A26">
        <f t="shared" si="1"/>
        <v>25</v>
      </c>
      <c r="B26" cm="1">
        <f t="array" ref="B26">SUMPRODUCT('1_Estandarizacion'!$E$2:$E$242,INDEX(Capa1_Pesos!$A$1:$AX$241,0,A26))+INDEX(Capa1_Sesgos!$A$2:$A$51,A26)</f>
        <v>-8.0545340421031888</v>
      </c>
      <c r="C26">
        <f t="shared" si="0"/>
        <v>0</v>
      </c>
    </row>
    <row r="27" spans="1:3" x14ac:dyDescent="0.25">
      <c r="A27">
        <f t="shared" si="1"/>
        <v>26</v>
      </c>
      <c r="B27" cm="1">
        <f t="array" ref="B27">SUMPRODUCT('1_Estandarizacion'!$E$2:$E$242,INDEX(Capa1_Pesos!$A$1:$AX$241,0,A27))+INDEX(Capa1_Sesgos!$A$2:$A$51,A27)</f>
        <v>-14.795263424590807</v>
      </c>
      <c r="C27">
        <f t="shared" si="0"/>
        <v>0</v>
      </c>
    </row>
    <row r="28" spans="1:3" x14ac:dyDescent="0.25">
      <c r="A28">
        <f t="shared" si="1"/>
        <v>27</v>
      </c>
      <c r="B28" cm="1">
        <f t="array" ref="B28">SUMPRODUCT('1_Estandarizacion'!$E$2:$E$242,INDEX(Capa1_Pesos!$A$1:$AX$241,0,A28))+INDEX(Capa1_Sesgos!$A$2:$A$51,A28)</f>
        <v>-2.9335344379803039</v>
      </c>
      <c r="C28">
        <f t="shared" si="0"/>
        <v>0</v>
      </c>
    </row>
    <row r="29" spans="1:3" x14ac:dyDescent="0.25">
      <c r="A29">
        <f t="shared" si="1"/>
        <v>28</v>
      </c>
      <c r="B29" cm="1">
        <f t="array" ref="B29">SUMPRODUCT('1_Estandarizacion'!$E$2:$E$242,INDEX(Capa1_Pesos!$A$1:$AX$241,0,A29))+INDEX(Capa1_Sesgos!$A$2:$A$51,A29)</f>
        <v>-5.0564907761915849</v>
      </c>
      <c r="C29">
        <f t="shared" si="0"/>
        <v>0</v>
      </c>
    </row>
    <row r="30" spans="1:3" x14ac:dyDescent="0.25">
      <c r="A30">
        <f t="shared" si="1"/>
        <v>29</v>
      </c>
      <c r="B30" cm="1">
        <f t="array" ref="B30">SUMPRODUCT('1_Estandarizacion'!$E$2:$E$242,INDEX(Capa1_Pesos!$A$1:$AX$241,0,A30))+INDEX(Capa1_Sesgos!$A$2:$A$51,A30)</f>
        <v>-0.61644281872219042</v>
      </c>
      <c r="C30">
        <f t="shared" si="0"/>
        <v>0</v>
      </c>
    </row>
    <row r="31" spans="1:3" x14ac:dyDescent="0.25">
      <c r="A31">
        <f t="shared" si="1"/>
        <v>30</v>
      </c>
      <c r="B31" cm="1">
        <f t="array" ref="B31">SUMPRODUCT('1_Estandarizacion'!$E$2:$E$242,INDEX(Capa1_Pesos!$A$1:$AX$241,0,A31))+INDEX(Capa1_Sesgos!$A$2:$A$51,A31)</f>
        <v>-3.4445937076687558</v>
      </c>
      <c r="C31">
        <f t="shared" si="0"/>
        <v>0</v>
      </c>
    </row>
    <row r="32" spans="1:3" x14ac:dyDescent="0.25">
      <c r="A32">
        <f t="shared" si="1"/>
        <v>31</v>
      </c>
      <c r="B32" cm="1">
        <f t="array" ref="B32">SUMPRODUCT('1_Estandarizacion'!$E$2:$E$242,INDEX(Capa1_Pesos!$A$1:$AX$241,0,A32))+INDEX(Capa1_Sesgos!$A$2:$A$51,A32)</f>
        <v>-2.6891350897520683</v>
      </c>
      <c r="C32">
        <f t="shared" si="0"/>
        <v>0</v>
      </c>
    </row>
    <row r="33" spans="1:3" x14ac:dyDescent="0.25">
      <c r="A33">
        <f t="shared" si="1"/>
        <v>32</v>
      </c>
      <c r="B33" cm="1">
        <f t="array" ref="B33">SUMPRODUCT('1_Estandarizacion'!$E$2:$E$242,INDEX(Capa1_Pesos!$A$1:$AX$241,0,A33))+INDEX(Capa1_Sesgos!$A$2:$A$51,A33)</f>
        <v>-6.4490086589471485</v>
      </c>
      <c r="C33">
        <f t="shared" si="0"/>
        <v>0</v>
      </c>
    </row>
    <row r="34" spans="1:3" x14ac:dyDescent="0.25">
      <c r="A34">
        <f t="shared" si="1"/>
        <v>33</v>
      </c>
      <c r="B34" cm="1">
        <f t="array" ref="B34">SUMPRODUCT('1_Estandarizacion'!$E$2:$E$242,INDEX(Capa1_Pesos!$A$1:$AX$241,0,A34))+INDEX(Capa1_Sesgos!$A$2:$A$51,A34)</f>
        <v>2.1362905528597125</v>
      </c>
      <c r="C34">
        <f t="shared" si="0"/>
        <v>2.1362905528597125</v>
      </c>
    </row>
    <row r="35" spans="1:3" x14ac:dyDescent="0.25">
      <c r="A35">
        <f t="shared" si="1"/>
        <v>34</v>
      </c>
      <c r="B35" cm="1">
        <f t="array" ref="B35">SUMPRODUCT('1_Estandarizacion'!$E$2:$E$242,INDEX(Capa1_Pesos!$A$1:$AX$241,0,A35))+INDEX(Capa1_Sesgos!$A$2:$A$51,A35)</f>
        <v>-2.2500803333467529</v>
      </c>
      <c r="C35">
        <f t="shared" si="0"/>
        <v>0</v>
      </c>
    </row>
    <row r="36" spans="1:3" x14ac:dyDescent="0.25">
      <c r="A36">
        <f t="shared" si="1"/>
        <v>35</v>
      </c>
      <c r="B36" cm="1">
        <f t="array" ref="B36">SUMPRODUCT('1_Estandarizacion'!$E$2:$E$242,INDEX(Capa1_Pesos!$A$1:$AX$241,0,A36))+INDEX(Capa1_Sesgos!$A$2:$A$51,A36)</f>
        <v>-1.8818303927722999</v>
      </c>
      <c r="C36">
        <f t="shared" si="0"/>
        <v>0</v>
      </c>
    </row>
    <row r="37" spans="1:3" x14ac:dyDescent="0.25">
      <c r="A37">
        <f t="shared" si="1"/>
        <v>36</v>
      </c>
      <c r="B37" cm="1">
        <f t="array" ref="B37">SUMPRODUCT('1_Estandarizacion'!$E$2:$E$242,INDEX(Capa1_Pesos!$A$1:$AX$241,0,A37))+INDEX(Capa1_Sesgos!$A$2:$A$51,A37)</f>
        <v>-0.43482034135593017</v>
      </c>
      <c r="C37">
        <f t="shared" si="0"/>
        <v>0</v>
      </c>
    </row>
    <row r="38" spans="1:3" x14ac:dyDescent="0.25">
      <c r="A38">
        <f t="shared" si="1"/>
        <v>37</v>
      </c>
      <c r="B38" cm="1">
        <f t="array" ref="B38">SUMPRODUCT('1_Estandarizacion'!$E$2:$E$242,INDEX(Capa1_Pesos!$A$1:$AX$241,0,A38))+INDEX(Capa1_Sesgos!$A$2:$A$51,A38)</f>
        <v>3.7472828627022259</v>
      </c>
      <c r="C38">
        <f t="shared" si="0"/>
        <v>3.7472828627022259</v>
      </c>
    </row>
    <row r="39" spans="1:3" x14ac:dyDescent="0.25">
      <c r="A39">
        <f t="shared" si="1"/>
        <v>38</v>
      </c>
      <c r="B39" cm="1">
        <f t="array" ref="B39">SUMPRODUCT('1_Estandarizacion'!$E$2:$E$242,INDEX(Capa1_Pesos!$A$1:$AX$241,0,A39))+INDEX(Capa1_Sesgos!$A$2:$A$51,A39)</f>
        <v>-5.7053723792681481</v>
      </c>
      <c r="C39">
        <f t="shared" si="0"/>
        <v>0</v>
      </c>
    </row>
    <row r="40" spans="1:3" x14ac:dyDescent="0.25">
      <c r="A40">
        <f t="shared" si="1"/>
        <v>39</v>
      </c>
      <c r="B40" cm="1">
        <f t="array" ref="B40">SUMPRODUCT('1_Estandarizacion'!$E$2:$E$242,INDEX(Capa1_Pesos!$A$1:$AX$241,0,A40))+INDEX(Capa1_Sesgos!$A$2:$A$51,A40)</f>
        <v>-3.8204047053845138</v>
      </c>
      <c r="C40">
        <f t="shared" si="0"/>
        <v>0</v>
      </c>
    </row>
    <row r="41" spans="1:3" x14ac:dyDescent="0.25">
      <c r="A41">
        <f t="shared" si="1"/>
        <v>40</v>
      </c>
      <c r="B41" cm="1">
        <f t="array" ref="B41">SUMPRODUCT('1_Estandarizacion'!$E$2:$E$242,INDEX(Capa1_Pesos!$A$1:$AX$241,0,A41))+INDEX(Capa1_Sesgos!$A$2:$A$51,A41)</f>
        <v>-2.3821717695184033</v>
      </c>
      <c r="C41">
        <f t="shared" si="0"/>
        <v>0</v>
      </c>
    </row>
    <row r="42" spans="1:3" x14ac:dyDescent="0.25">
      <c r="A42">
        <f t="shared" si="1"/>
        <v>41</v>
      </c>
      <c r="B42" cm="1">
        <f t="array" ref="B42">SUMPRODUCT('1_Estandarizacion'!$E$2:$E$242,INDEX(Capa1_Pesos!$A$1:$AX$241,0,A42))+INDEX(Capa1_Sesgos!$A$2:$A$51,A42)</f>
        <v>-4.2430928103428673</v>
      </c>
      <c r="C42">
        <f t="shared" si="0"/>
        <v>0</v>
      </c>
    </row>
    <row r="43" spans="1:3" x14ac:dyDescent="0.25">
      <c r="A43">
        <f t="shared" si="1"/>
        <v>42</v>
      </c>
      <c r="B43" cm="1">
        <f t="array" ref="B43">SUMPRODUCT('1_Estandarizacion'!$E$2:$E$242,INDEX(Capa1_Pesos!$A$1:$AX$241,0,A43))+INDEX(Capa1_Sesgos!$A$2:$A$51,A43)</f>
        <v>-1.9894042925032238</v>
      </c>
      <c r="C43">
        <f t="shared" si="0"/>
        <v>0</v>
      </c>
    </row>
    <row r="44" spans="1:3" x14ac:dyDescent="0.25">
      <c r="A44">
        <f t="shared" si="1"/>
        <v>43</v>
      </c>
      <c r="B44" cm="1">
        <f t="array" ref="B44">SUMPRODUCT('1_Estandarizacion'!$E$2:$E$242,INDEX(Capa1_Pesos!$A$1:$AX$241,0,A44))+INDEX(Capa1_Sesgos!$A$2:$A$51,A44)</f>
        <v>0.12081919052653345</v>
      </c>
      <c r="C44">
        <f t="shared" si="0"/>
        <v>0.12081919052653345</v>
      </c>
    </row>
    <row r="45" spans="1:3" x14ac:dyDescent="0.25">
      <c r="A45">
        <f t="shared" si="1"/>
        <v>44</v>
      </c>
      <c r="B45" cm="1">
        <f t="array" ref="B45">SUMPRODUCT('1_Estandarizacion'!$E$2:$E$242,INDEX(Capa1_Pesos!$A$1:$AX$241,0,A45))+INDEX(Capa1_Sesgos!$A$2:$A$51,A45)</f>
        <v>-6.2061846842230013</v>
      </c>
      <c r="C45">
        <f t="shared" si="0"/>
        <v>0</v>
      </c>
    </row>
    <row r="46" spans="1:3" x14ac:dyDescent="0.25">
      <c r="A46">
        <f t="shared" si="1"/>
        <v>45</v>
      </c>
      <c r="B46" cm="1">
        <f t="array" ref="B46">SUMPRODUCT('1_Estandarizacion'!$E$2:$E$242,INDEX(Capa1_Pesos!$A$1:$AX$241,0,A46))+INDEX(Capa1_Sesgos!$A$2:$A$51,A46)</f>
        <v>2.8531839170744533</v>
      </c>
      <c r="C46">
        <f t="shared" si="0"/>
        <v>2.8531839170744533</v>
      </c>
    </row>
    <row r="47" spans="1:3" x14ac:dyDescent="0.25">
      <c r="A47">
        <f t="shared" si="1"/>
        <v>46</v>
      </c>
      <c r="B47" cm="1">
        <f t="array" ref="B47">SUMPRODUCT('1_Estandarizacion'!$E$2:$E$242,INDEX(Capa1_Pesos!$A$1:$AX$241,0,A47))+INDEX(Capa1_Sesgos!$A$2:$A$51,A47)</f>
        <v>0.72929438446196704</v>
      </c>
      <c r="C47">
        <f t="shared" si="0"/>
        <v>0.72929438446196704</v>
      </c>
    </row>
    <row r="48" spans="1:3" x14ac:dyDescent="0.25">
      <c r="A48">
        <f t="shared" si="1"/>
        <v>47</v>
      </c>
      <c r="B48" cm="1">
        <f t="array" ref="B48">SUMPRODUCT('1_Estandarizacion'!$E$2:$E$242,INDEX(Capa1_Pesos!$A$1:$AX$241,0,A48))+INDEX(Capa1_Sesgos!$A$2:$A$51,A48)</f>
        <v>-3.3463978438996063</v>
      </c>
      <c r="C48">
        <f t="shared" si="0"/>
        <v>0</v>
      </c>
    </row>
    <row r="49" spans="1:3" x14ac:dyDescent="0.25">
      <c r="A49">
        <f t="shared" si="1"/>
        <v>48</v>
      </c>
      <c r="B49" cm="1">
        <f t="array" ref="B49">SUMPRODUCT('1_Estandarizacion'!$E$2:$E$242,INDEX(Capa1_Pesos!$A$1:$AX$241,0,A49))+INDEX(Capa1_Sesgos!$A$2:$A$51,A49)</f>
        <v>-4.8580419431390363</v>
      </c>
      <c r="C49">
        <f t="shared" si="0"/>
        <v>0</v>
      </c>
    </row>
    <row r="50" spans="1:3" x14ac:dyDescent="0.25">
      <c r="A50">
        <f t="shared" si="1"/>
        <v>49</v>
      </c>
      <c r="B50" cm="1">
        <f t="array" ref="B50">SUMPRODUCT('1_Estandarizacion'!$E$2:$E$242,INDEX(Capa1_Pesos!$A$1:$AX$241,0,A50))+INDEX(Capa1_Sesgos!$A$2:$A$51,A50)</f>
        <v>-6.7124268007137795</v>
      </c>
      <c r="C50">
        <f t="shared" si="0"/>
        <v>0</v>
      </c>
    </row>
    <row r="51" spans="1:3" x14ac:dyDescent="0.25">
      <c r="A51">
        <f>1+A50</f>
        <v>50</v>
      </c>
      <c r="B51" cm="1">
        <f t="array" ref="B51">SUMPRODUCT('1_Estandarizacion'!$E$2:$E$242,INDEX(Capa1_Pesos!$A$1:$AX$241,0,A51))+INDEX(Capa1_Sesgos!$A$2:$A$51,A51)</f>
        <v>-3.2484060902448055</v>
      </c>
      <c r="C51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F4BC-B39A-4AE1-AC7A-C6874D194EEE}">
  <dimension ref="A1:G13"/>
  <sheetViews>
    <sheetView workbookViewId="0">
      <selection activeCell="D11" sqref="D11"/>
    </sheetView>
  </sheetViews>
  <sheetFormatPr baseColWidth="10" defaultRowHeight="15" x14ac:dyDescent="0.25"/>
  <sheetData>
    <row r="1" spans="1:7" x14ac:dyDescent="0.25">
      <c r="A1" t="s">
        <v>264</v>
      </c>
      <c r="B1" t="s">
        <v>265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</row>
    <row r="2" spans="1:7" x14ac:dyDescent="0.25">
      <c r="A2">
        <v>1</v>
      </c>
      <c r="B2" t="str" cm="1">
        <f t="array" ref="B2">INDEX(Clases!$B$2:$B$11,A2)</f>
        <v>DAÑOS MECÁNICOS</v>
      </c>
      <c r="C2" cm="1">
        <f t="array" ref="C2">SUMPRODUCT('2_Capa1'!$C$2:$C$51,INDEX(Capa2_Pesos!$A$1:$J$50,0,A2))+INDEX(Capa2_Sesgos!$A$2:$A$11,A2)</f>
        <v>-3.8906199664310517</v>
      </c>
      <c r="D2">
        <f>EXP(C2)</f>
        <v>2.0432674538081036E-2</v>
      </c>
      <c r="E2">
        <f>D2/$D$13</f>
        <v>1.5024867828843721E-3</v>
      </c>
      <c r="F2" cm="1">
        <f t="array" ref="F2">INDEX(Referencia_Python!$B$2:$B$11,A2)</f>
        <v>9.1705258731994833E-4</v>
      </c>
      <c r="G2">
        <f>E2-F2</f>
        <v>5.8543419556442372E-4</v>
      </c>
    </row>
    <row r="3" spans="1:7" x14ac:dyDescent="0.25">
      <c r="A3">
        <f>1+A2</f>
        <v>2</v>
      </c>
      <c r="B3" t="str" cm="1">
        <f t="array" ref="B3">INDEX(Clases!$B$2:$B$11,A3)</f>
        <v>EMBRIAGUEZ O DROGA</v>
      </c>
      <c r="C3" cm="1">
        <f t="array" ref="C3">SUMPRODUCT('2_Capa1'!$C$2:$C$51,INDEX(Capa2_Pesos!$A$1:$J$50,0,A3))+INDEX(Capa2_Sesgos!$A$2:$A$11,A3)</f>
        <v>1.3166189402985218</v>
      </c>
      <c r="D3">
        <f t="shared" ref="D3:D11" si="0">EXP(C3)</f>
        <v>3.7307860185843955</v>
      </c>
      <c r="E3">
        <f t="shared" ref="E3:E11" si="1">D3/$D$13</f>
        <v>0.27433788328815167</v>
      </c>
      <c r="F3" cm="1">
        <f t="array" ref="F3">INDEX(Referencia_Python!$B$2:$B$11,A3)</f>
        <v>0.36071133748798961</v>
      </c>
      <c r="G3">
        <f t="shared" ref="G3:G11" si="2">E3-F3</f>
        <v>-8.637345419983794E-2</v>
      </c>
    </row>
    <row r="4" spans="1:7" x14ac:dyDescent="0.25">
      <c r="A4">
        <f t="shared" ref="A4:A11" si="3">1+A3</f>
        <v>3</v>
      </c>
      <c r="B4" t="str" cm="1">
        <f t="array" ref="B4">INDEX(Clases!$B$2:$B$11,A4)</f>
        <v>EXCESO VELOCIDAD</v>
      </c>
      <c r="C4" cm="1">
        <f t="array" ref="C4">SUMPRODUCT('2_Capa1'!$C$2:$C$51,INDEX(Capa2_Pesos!$A$1:$J$50,0,A4))+INDEX(Capa2_Sesgos!$A$2:$A$11,A4)</f>
        <v>1.1894403543794823</v>
      </c>
      <c r="D4">
        <f t="shared" si="0"/>
        <v>3.2852421214473155</v>
      </c>
      <c r="E4">
        <f t="shared" si="1"/>
        <v>0.24157546565184909</v>
      </c>
      <c r="F4" cm="1">
        <f t="array" ref="F4">INDEX(Referencia_Python!$B$2:$B$11,A4)</f>
        <v>0.21594479156037827</v>
      </c>
      <c r="G4">
        <f t="shared" si="2"/>
        <v>2.5630674091470823E-2</v>
      </c>
    </row>
    <row r="5" spans="1:7" x14ac:dyDescent="0.25">
      <c r="A5">
        <f t="shared" si="3"/>
        <v>4</v>
      </c>
      <c r="B5" t="str" cm="1">
        <f t="array" ref="B5">INDEX(Clases!$B$2:$B$11,A5)</f>
        <v>FACTORES CLIMÁTICOS</v>
      </c>
      <c r="C5" cm="1">
        <f t="array" ref="C5">SUMPRODUCT('2_Capa1'!$C$2:$C$51,INDEX(Capa2_Pesos!$A$1:$J$50,0,A5))+INDEX(Capa2_Sesgos!$A$2:$A$11,A5)</f>
        <v>-1.7294388736591115</v>
      </c>
      <c r="D5">
        <f t="shared" si="0"/>
        <v>0.17738391683749211</v>
      </c>
      <c r="E5">
        <f t="shared" si="1"/>
        <v>1.3043666410282031E-2</v>
      </c>
      <c r="F5" cm="1">
        <f t="array" ref="F5">INDEX(Referencia_Python!$B$2:$B$11,A5)</f>
        <v>1.1832096609122952E-2</v>
      </c>
      <c r="G5">
        <f t="shared" si="2"/>
        <v>1.2115698011590792E-3</v>
      </c>
    </row>
    <row r="6" spans="1:7" x14ac:dyDescent="0.25">
      <c r="A6">
        <f t="shared" si="3"/>
        <v>5</v>
      </c>
      <c r="B6" t="str" cm="1">
        <f t="array" ref="B6">INDEX(Clases!$B$2:$B$11,A6)</f>
        <v>IMPERICIA E IMPRUDENCIA DEL CONDUCTOR</v>
      </c>
      <c r="C6" cm="1">
        <f t="array" ref="C6">SUMPRODUCT('2_Capa1'!$C$2:$C$51,INDEX(Capa2_Pesos!$A$1:$J$50,0,A6))+INDEX(Capa2_Sesgos!$A$2:$A$11,A6)</f>
        <v>1.2475939943947683</v>
      </c>
      <c r="D6">
        <f t="shared" si="0"/>
        <v>3.4819552672031611</v>
      </c>
      <c r="E6">
        <f t="shared" si="1"/>
        <v>0.25604047858820855</v>
      </c>
      <c r="F6" cm="1">
        <f t="array" ref="F6">INDEX(Referencia_Python!$B$2:$B$11,A6)</f>
        <v>0.22407225438583539</v>
      </c>
      <c r="G6">
        <f t="shared" si="2"/>
        <v>3.1968224202373163E-2</v>
      </c>
    </row>
    <row r="7" spans="1:7" x14ac:dyDescent="0.25">
      <c r="A7">
        <f t="shared" si="3"/>
        <v>6</v>
      </c>
      <c r="B7" t="str" cm="1">
        <f t="array" ref="B7">INDEX(Clases!$B$2:$B$11,A7)</f>
        <v>IMPRUDENCIA  DEL PEATÓN</v>
      </c>
      <c r="C7" cm="1">
        <f t="array" ref="C7">SUMPRODUCT('2_Capa1'!$C$2:$C$51,INDEX(Capa2_Pesos!$A$1:$J$50,0,A7))+INDEX(Capa2_Sesgos!$A$2:$A$11,A7)</f>
        <v>-0.17362449651141137</v>
      </c>
      <c r="D7">
        <f t="shared" si="0"/>
        <v>0.84061249132450533</v>
      </c>
      <c r="E7">
        <f t="shared" si="1"/>
        <v>6.1813207829873776E-2</v>
      </c>
      <c r="F7" cm="1">
        <f t="array" ref="F7">INDEX(Referencia_Python!$B$2:$B$11,A7)</f>
        <v>6.9184942260330895E-2</v>
      </c>
      <c r="G7">
        <f t="shared" si="2"/>
        <v>-7.3717344304571192E-3</v>
      </c>
    </row>
    <row r="8" spans="1:7" x14ac:dyDescent="0.25">
      <c r="A8">
        <f t="shared" si="3"/>
        <v>7</v>
      </c>
      <c r="B8" t="str" cm="1">
        <f t="array" ref="B8">INDEX(Clases!$B$2:$B$11,A8)</f>
        <v>MAL ESTADO DE LA VÍA</v>
      </c>
      <c r="C8" cm="1">
        <f t="array" ref="C8">SUMPRODUCT('2_Capa1'!$C$2:$C$51,INDEX(Capa2_Pesos!$A$1:$J$50,0,A8))+INDEX(Capa2_Sesgos!$A$2:$A$11,A8)</f>
        <v>-1.74951000530901</v>
      </c>
      <c r="D8">
        <f t="shared" si="0"/>
        <v>0.17385911262468579</v>
      </c>
      <c r="E8">
        <f t="shared" si="1"/>
        <v>1.2784475097263935E-2</v>
      </c>
      <c r="F8" cm="1">
        <f t="array" ref="F8">INDEX(Referencia_Python!$B$2:$B$11,A8)</f>
        <v>1.2202645652197778E-2</v>
      </c>
      <c r="G8">
        <f t="shared" si="2"/>
        <v>5.8182944506615653E-4</v>
      </c>
    </row>
    <row r="9" spans="1:7" x14ac:dyDescent="0.25">
      <c r="A9">
        <f t="shared" si="3"/>
        <v>8</v>
      </c>
      <c r="B9" t="str" cm="1">
        <f t="array" ref="B9">INDEX(Clases!$B$2:$B$11,A9)</f>
        <v>MAL REBASAMIENTO INVADIR CARRIL</v>
      </c>
      <c r="C9" cm="1">
        <f t="array" ref="C9">SUMPRODUCT('2_Capa1'!$C$2:$C$51,INDEX(Capa2_Pesos!$A$1:$J$50,0,A9))+INDEX(Capa2_Sesgos!$A$2:$A$11,A9)</f>
        <v>0.27562880950771335</v>
      </c>
      <c r="D9">
        <f t="shared" si="0"/>
        <v>1.3173587822067725</v>
      </c>
      <c r="E9">
        <f t="shared" si="1"/>
        <v>9.6870047770467649E-2</v>
      </c>
      <c r="F9" cm="1">
        <f t="array" ref="F9">INDEX(Referencia_Python!$B$2:$B$11,A9)</f>
        <v>6.2996122832367843E-2</v>
      </c>
      <c r="G9">
        <f t="shared" si="2"/>
        <v>3.3873924938099806E-2</v>
      </c>
    </row>
    <row r="10" spans="1:7" x14ac:dyDescent="0.25">
      <c r="A10">
        <f t="shared" si="3"/>
        <v>9</v>
      </c>
      <c r="B10" t="str" cm="1">
        <f t="array" ref="B10">INDEX(Clases!$B$2:$B$11,A10)</f>
        <v>NO RESPETA LAS SEÑALES DE TRÁNSITO</v>
      </c>
      <c r="C10" cm="1">
        <f t="array" ref="C10">SUMPRODUCT('2_Capa1'!$C$2:$C$51,INDEX(Capa2_Pesos!$A$1:$J$50,0,A10))+INDEX(Capa2_Sesgos!$A$2:$A$11,A10)</f>
        <v>-0.61553089472805422</v>
      </c>
      <c r="D10">
        <f t="shared" si="0"/>
        <v>0.54035394808435044</v>
      </c>
      <c r="E10">
        <f t="shared" si="1"/>
        <v>3.9734135810904625E-2</v>
      </c>
      <c r="F10" cm="1">
        <f t="array" ref="F10">INDEX(Referencia_Python!$B$2:$B$11,A10)</f>
        <v>3.9811625327502806E-2</v>
      </c>
      <c r="G10">
        <f t="shared" si="2"/>
        <v>-7.748951659818093E-5</v>
      </c>
    </row>
    <row r="11" spans="1:7" x14ac:dyDescent="0.25">
      <c r="A11">
        <f t="shared" si="3"/>
        <v>10</v>
      </c>
      <c r="B11" t="str" cm="1">
        <f t="array" ref="B11">INDEX(Clases!$B$2:$B$11,A11)</f>
        <v>OTRAS CAUSAS</v>
      </c>
      <c r="C11" cm="1">
        <f t="array" ref="C11">SUMPRODUCT('2_Capa1'!$C$2:$C$51,INDEX(Capa2_Pesos!$A$1:$J$50,0,A11))+INDEX(Capa2_Sesgos!$A$2:$A$11,A11)</f>
        <v>-3.4656359002563812</v>
      </c>
      <c r="D11">
        <f t="shared" si="0"/>
        <v>3.1253125235742696E-2</v>
      </c>
      <c r="E11">
        <f t="shared" si="1"/>
        <v>2.2981527701142301E-3</v>
      </c>
      <c r="F11" cm="1">
        <f t="array" ref="F11">INDEX(Referencia_Python!$B$2:$B$11,A11)</f>
        <v>2.3271312969543843E-3</v>
      </c>
      <c r="G11">
        <f t="shared" si="2"/>
        <v>-2.8978526840154218E-5</v>
      </c>
    </row>
    <row r="12" spans="1:7" x14ac:dyDescent="0.25">
      <c r="E12">
        <f>SUM(E2:E11)</f>
        <v>1</v>
      </c>
    </row>
    <row r="13" spans="1:7" x14ac:dyDescent="0.25">
      <c r="D13">
        <f>SUM(D2:D11)</f>
        <v>13.599237458086503</v>
      </c>
      <c r="F13" t="str">
        <f>INDEX(B2:B11,MATCH(MAX(E2:E11),E2:E11,0))</f>
        <v>EMBRIAGUEZ O DROGA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363D-6F63-412B-BBCE-4365B210C156}">
  <dimension ref="A1:B242"/>
  <sheetViews>
    <sheetView workbookViewId="0"/>
  </sheetViews>
  <sheetFormatPr baseColWidth="10" defaultRowHeight="15" x14ac:dyDescent="0.25"/>
  <cols>
    <col min="1" max="1" width="32.85546875" bestFit="1" customWidth="1"/>
    <col min="2" max="2" width="11.85546875" bestFit="1" customWidth="1"/>
  </cols>
  <sheetData>
    <row r="1" spans="1:2" x14ac:dyDescent="0.25">
      <c r="A1" t="s">
        <v>257</v>
      </c>
      <c r="B1" t="s">
        <v>258</v>
      </c>
    </row>
    <row r="2" spans="1:2" x14ac:dyDescent="0.25">
      <c r="A2" s="2" t="s">
        <v>3</v>
      </c>
      <c r="B2" t="b">
        <v>0</v>
      </c>
    </row>
    <row r="3" spans="1:2" x14ac:dyDescent="0.25">
      <c r="A3" s="2" t="s">
        <v>4</v>
      </c>
      <c r="B3" t="b">
        <v>0</v>
      </c>
    </row>
    <row r="4" spans="1:2" x14ac:dyDescent="0.25">
      <c r="A4" s="2" t="s">
        <v>5</v>
      </c>
      <c r="B4" t="b">
        <v>0</v>
      </c>
    </row>
    <row r="5" spans="1:2" x14ac:dyDescent="0.25">
      <c r="A5" s="2" t="s">
        <v>6</v>
      </c>
      <c r="B5" t="b">
        <v>1</v>
      </c>
    </row>
    <row r="6" spans="1:2" x14ac:dyDescent="0.25">
      <c r="A6" s="2" t="s">
        <v>7</v>
      </c>
      <c r="B6" t="b">
        <v>0</v>
      </c>
    </row>
    <row r="7" spans="1:2" x14ac:dyDescent="0.25">
      <c r="A7" s="2" t="s">
        <v>8</v>
      </c>
      <c r="B7" t="b">
        <v>0</v>
      </c>
    </row>
    <row r="8" spans="1:2" x14ac:dyDescent="0.25">
      <c r="A8" s="2" t="s">
        <v>9</v>
      </c>
      <c r="B8" t="b">
        <v>0</v>
      </c>
    </row>
    <row r="9" spans="1:2" x14ac:dyDescent="0.25">
      <c r="A9" s="2" t="s">
        <v>10</v>
      </c>
      <c r="B9" t="b">
        <v>0</v>
      </c>
    </row>
    <row r="10" spans="1:2" x14ac:dyDescent="0.25">
      <c r="A10" s="2" t="s">
        <v>11</v>
      </c>
      <c r="B10" t="b">
        <v>0</v>
      </c>
    </row>
    <row r="11" spans="1:2" x14ac:dyDescent="0.25">
      <c r="A11" s="2" t="s">
        <v>12</v>
      </c>
      <c r="B11" t="b">
        <v>0</v>
      </c>
    </row>
    <row r="12" spans="1:2" x14ac:dyDescent="0.25">
      <c r="A12" s="2" t="s">
        <v>13</v>
      </c>
      <c r="B12" t="b">
        <v>0</v>
      </c>
    </row>
    <row r="13" spans="1:2" x14ac:dyDescent="0.25">
      <c r="A13" s="2" t="s">
        <v>14</v>
      </c>
      <c r="B13" t="b">
        <v>0</v>
      </c>
    </row>
    <row r="14" spans="1:2" x14ac:dyDescent="0.25">
      <c r="A14" s="2" t="s">
        <v>15</v>
      </c>
      <c r="B14" t="b">
        <v>0</v>
      </c>
    </row>
    <row r="15" spans="1:2" x14ac:dyDescent="0.25">
      <c r="A15" s="2" t="s">
        <v>16</v>
      </c>
      <c r="B15" t="b">
        <v>1</v>
      </c>
    </row>
    <row r="16" spans="1:2" x14ac:dyDescent="0.25">
      <c r="A16" s="2" t="s">
        <v>17</v>
      </c>
      <c r="B16" t="b">
        <v>0</v>
      </c>
    </row>
    <row r="17" spans="1:2" x14ac:dyDescent="0.25">
      <c r="A17" s="2" t="s">
        <v>18</v>
      </c>
      <c r="B17" t="b">
        <v>0</v>
      </c>
    </row>
    <row r="18" spans="1:2" x14ac:dyDescent="0.25">
      <c r="A18" s="2" t="s">
        <v>19</v>
      </c>
      <c r="B18" t="b">
        <v>0</v>
      </c>
    </row>
    <row r="19" spans="1:2" x14ac:dyDescent="0.25">
      <c r="A19" s="2" t="s">
        <v>20</v>
      </c>
      <c r="B19" t="b">
        <v>0</v>
      </c>
    </row>
    <row r="20" spans="1:2" x14ac:dyDescent="0.25">
      <c r="A20" s="2" t="s">
        <v>21</v>
      </c>
      <c r="B20" t="b">
        <v>0</v>
      </c>
    </row>
    <row r="21" spans="1:2" x14ac:dyDescent="0.25">
      <c r="A21" s="2" t="s">
        <v>22</v>
      </c>
      <c r="B21" t="b">
        <v>0</v>
      </c>
    </row>
    <row r="22" spans="1:2" x14ac:dyDescent="0.25">
      <c r="A22" s="2" t="s">
        <v>23</v>
      </c>
      <c r="B22" t="b">
        <v>0</v>
      </c>
    </row>
    <row r="23" spans="1:2" x14ac:dyDescent="0.25">
      <c r="A23" s="2" t="s">
        <v>24</v>
      </c>
      <c r="B23" t="b">
        <v>0</v>
      </c>
    </row>
    <row r="24" spans="1:2" x14ac:dyDescent="0.25">
      <c r="A24" s="2" t="s">
        <v>25</v>
      </c>
      <c r="B24" t="b">
        <v>0</v>
      </c>
    </row>
    <row r="25" spans="1:2" x14ac:dyDescent="0.25">
      <c r="A25" s="2" t="s">
        <v>26</v>
      </c>
      <c r="B25" t="b">
        <v>0</v>
      </c>
    </row>
    <row r="26" spans="1:2" x14ac:dyDescent="0.25">
      <c r="A26" s="2" t="s">
        <v>27</v>
      </c>
      <c r="B26" t="b">
        <v>0</v>
      </c>
    </row>
    <row r="27" spans="1:2" x14ac:dyDescent="0.25">
      <c r="A27" s="2" t="s">
        <v>28</v>
      </c>
      <c r="B27" t="b">
        <v>0</v>
      </c>
    </row>
    <row r="28" spans="1:2" x14ac:dyDescent="0.25">
      <c r="A28" s="2" t="s">
        <v>29</v>
      </c>
      <c r="B28" t="b">
        <v>0</v>
      </c>
    </row>
    <row r="29" spans="1:2" x14ac:dyDescent="0.25">
      <c r="A29" s="2" t="s">
        <v>30</v>
      </c>
      <c r="B29" t="b">
        <v>0</v>
      </c>
    </row>
    <row r="30" spans="1:2" x14ac:dyDescent="0.25">
      <c r="A30" s="2" t="s">
        <v>31</v>
      </c>
      <c r="B30" t="b">
        <v>0</v>
      </c>
    </row>
    <row r="31" spans="1:2" x14ac:dyDescent="0.25">
      <c r="A31" s="2" t="s">
        <v>32</v>
      </c>
      <c r="B31" t="b">
        <v>0</v>
      </c>
    </row>
    <row r="32" spans="1:2" x14ac:dyDescent="0.25">
      <c r="A32" s="2" t="s">
        <v>33</v>
      </c>
      <c r="B32" t="b">
        <v>0</v>
      </c>
    </row>
    <row r="33" spans="1:2" x14ac:dyDescent="0.25">
      <c r="A33" s="2" t="s">
        <v>34</v>
      </c>
      <c r="B33" t="b">
        <v>0</v>
      </c>
    </row>
    <row r="34" spans="1:2" x14ac:dyDescent="0.25">
      <c r="A34" s="2" t="s">
        <v>35</v>
      </c>
      <c r="B34" t="b">
        <v>0</v>
      </c>
    </row>
    <row r="35" spans="1:2" x14ac:dyDescent="0.25">
      <c r="A35" s="2" t="s">
        <v>36</v>
      </c>
      <c r="B35" t="b">
        <v>0</v>
      </c>
    </row>
    <row r="36" spans="1:2" x14ac:dyDescent="0.25">
      <c r="A36" s="2" t="s">
        <v>37</v>
      </c>
      <c r="B36" t="b">
        <v>0</v>
      </c>
    </row>
    <row r="37" spans="1:2" x14ac:dyDescent="0.25">
      <c r="A37" s="2" t="s">
        <v>38</v>
      </c>
      <c r="B37" t="b">
        <v>0</v>
      </c>
    </row>
    <row r="38" spans="1:2" x14ac:dyDescent="0.25">
      <c r="A38" s="2" t="s">
        <v>39</v>
      </c>
      <c r="B38" t="b">
        <v>0</v>
      </c>
    </row>
    <row r="39" spans="1:2" x14ac:dyDescent="0.25">
      <c r="A39" s="2" t="s">
        <v>40</v>
      </c>
      <c r="B39" t="b">
        <v>0</v>
      </c>
    </row>
    <row r="40" spans="1:2" x14ac:dyDescent="0.25">
      <c r="A40" s="2" t="s">
        <v>41</v>
      </c>
      <c r="B40" t="b">
        <v>0</v>
      </c>
    </row>
    <row r="41" spans="1:2" x14ac:dyDescent="0.25">
      <c r="A41" s="2" t="s">
        <v>42</v>
      </c>
      <c r="B41" t="b">
        <v>1</v>
      </c>
    </row>
    <row r="42" spans="1:2" x14ac:dyDescent="0.25">
      <c r="A42" s="2" t="s">
        <v>43</v>
      </c>
      <c r="B42" t="b">
        <v>0</v>
      </c>
    </row>
    <row r="43" spans="1:2" x14ac:dyDescent="0.25">
      <c r="A43" s="2" t="s">
        <v>44</v>
      </c>
      <c r="B43" t="b">
        <v>0</v>
      </c>
    </row>
    <row r="44" spans="1:2" x14ac:dyDescent="0.25">
      <c r="A44" s="2" t="s">
        <v>45</v>
      </c>
      <c r="B44" t="b">
        <v>0</v>
      </c>
    </row>
    <row r="45" spans="1:2" x14ac:dyDescent="0.25">
      <c r="A45" s="2" t="s">
        <v>46</v>
      </c>
      <c r="B45" t="b">
        <v>0</v>
      </c>
    </row>
    <row r="46" spans="1:2" x14ac:dyDescent="0.25">
      <c r="A46" s="2" t="s">
        <v>47</v>
      </c>
      <c r="B46" t="b">
        <v>0</v>
      </c>
    </row>
    <row r="47" spans="1:2" x14ac:dyDescent="0.25">
      <c r="A47" s="2" t="s">
        <v>48</v>
      </c>
      <c r="B47" t="b">
        <v>0</v>
      </c>
    </row>
    <row r="48" spans="1:2" x14ac:dyDescent="0.25">
      <c r="A48" s="2" t="s">
        <v>49</v>
      </c>
      <c r="B48" t="b">
        <v>0</v>
      </c>
    </row>
    <row r="49" spans="1:2" x14ac:dyDescent="0.25">
      <c r="A49" s="2" t="s">
        <v>50</v>
      </c>
      <c r="B49" t="b">
        <v>0</v>
      </c>
    </row>
    <row r="50" spans="1:2" x14ac:dyDescent="0.25">
      <c r="A50" s="2" t="s">
        <v>51</v>
      </c>
      <c r="B50" t="b">
        <v>0</v>
      </c>
    </row>
    <row r="51" spans="1:2" x14ac:dyDescent="0.25">
      <c r="A51" s="2" t="s">
        <v>52</v>
      </c>
      <c r="B51" t="b">
        <v>0</v>
      </c>
    </row>
    <row r="52" spans="1:2" x14ac:dyDescent="0.25">
      <c r="A52" s="2" t="s">
        <v>53</v>
      </c>
      <c r="B52" t="b">
        <v>0</v>
      </c>
    </row>
    <row r="53" spans="1:2" x14ac:dyDescent="0.25">
      <c r="A53" s="2" t="s">
        <v>54</v>
      </c>
      <c r="B53" t="b">
        <v>0</v>
      </c>
    </row>
    <row r="54" spans="1:2" x14ac:dyDescent="0.25">
      <c r="A54" s="2" t="s">
        <v>55</v>
      </c>
      <c r="B54" t="b">
        <v>0</v>
      </c>
    </row>
    <row r="55" spans="1:2" x14ac:dyDescent="0.25">
      <c r="A55" s="2" t="s">
        <v>56</v>
      </c>
      <c r="B55" t="b">
        <v>0</v>
      </c>
    </row>
    <row r="56" spans="1:2" x14ac:dyDescent="0.25">
      <c r="A56" s="2" t="s">
        <v>57</v>
      </c>
      <c r="B56" t="b">
        <v>0</v>
      </c>
    </row>
    <row r="57" spans="1:2" x14ac:dyDescent="0.25">
      <c r="A57" s="2" t="s">
        <v>58</v>
      </c>
      <c r="B57" t="b">
        <v>0</v>
      </c>
    </row>
    <row r="58" spans="1:2" x14ac:dyDescent="0.25">
      <c r="A58" s="2" t="s">
        <v>59</v>
      </c>
      <c r="B58" t="b">
        <v>0</v>
      </c>
    </row>
    <row r="59" spans="1:2" x14ac:dyDescent="0.25">
      <c r="A59" s="2" t="s">
        <v>60</v>
      </c>
      <c r="B59" t="b">
        <v>0</v>
      </c>
    </row>
    <row r="60" spans="1:2" x14ac:dyDescent="0.25">
      <c r="A60" s="2" t="s">
        <v>61</v>
      </c>
      <c r="B60" t="b">
        <v>0</v>
      </c>
    </row>
    <row r="61" spans="1:2" x14ac:dyDescent="0.25">
      <c r="A61" s="2" t="s">
        <v>62</v>
      </c>
      <c r="B61" t="b">
        <v>0</v>
      </c>
    </row>
    <row r="62" spans="1:2" x14ac:dyDescent="0.25">
      <c r="A62" s="2" t="s">
        <v>63</v>
      </c>
      <c r="B62" t="b">
        <v>0</v>
      </c>
    </row>
    <row r="63" spans="1:2" x14ac:dyDescent="0.25">
      <c r="A63" s="2" t="s">
        <v>64</v>
      </c>
      <c r="B63" t="b">
        <v>1</v>
      </c>
    </row>
    <row r="64" spans="1:2" x14ac:dyDescent="0.25">
      <c r="A64" s="2" t="s">
        <v>65</v>
      </c>
      <c r="B64" t="b">
        <v>0</v>
      </c>
    </row>
    <row r="65" spans="1:2" x14ac:dyDescent="0.25">
      <c r="A65" s="2" t="s">
        <v>66</v>
      </c>
      <c r="B65" t="b">
        <v>0</v>
      </c>
    </row>
    <row r="66" spans="1:2" x14ac:dyDescent="0.25">
      <c r="A66" s="2" t="s">
        <v>67</v>
      </c>
      <c r="B66" t="b">
        <v>0</v>
      </c>
    </row>
    <row r="67" spans="1:2" x14ac:dyDescent="0.25">
      <c r="A67" s="2" t="s">
        <v>68</v>
      </c>
      <c r="B67" t="b">
        <v>0</v>
      </c>
    </row>
    <row r="68" spans="1:2" x14ac:dyDescent="0.25">
      <c r="A68" s="2" t="s">
        <v>69</v>
      </c>
      <c r="B68" t="b">
        <v>0</v>
      </c>
    </row>
    <row r="69" spans="1:2" x14ac:dyDescent="0.25">
      <c r="A69" s="2" t="s">
        <v>70</v>
      </c>
      <c r="B69" t="b">
        <v>0</v>
      </c>
    </row>
    <row r="70" spans="1:2" x14ac:dyDescent="0.25">
      <c r="A70" s="2" t="s">
        <v>71</v>
      </c>
      <c r="B70" t="b">
        <v>0</v>
      </c>
    </row>
    <row r="71" spans="1:2" x14ac:dyDescent="0.25">
      <c r="A71" s="2" t="s">
        <v>72</v>
      </c>
      <c r="B71" t="b">
        <v>0</v>
      </c>
    </row>
    <row r="72" spans="1:2" x14ac:dyDescent="0.25">
      <c r="A72" s="2" t="s">
        <v>73</v>
      </c>
      <c r="B72" t="b">
        <v>0</v>
      </c>
    </row>
    <row r="73" spans="1:2" x14ac:dyDescent="0.25">
      <c r="A73" s="2" t="s">
        <v>74</v>
      </c>
      <c r="B73" t="b">
        <v>0</v>
      </c>
    </row>
    <row r="74" spans="1:2" x14ac:dyDescent="0.25">
      <c r="A74" s="2" t="s">
        <v>75</v>
      </c>
      <c r="B74" t="b">
        <v>0</v>
      </c>
    </row>
    <row r="75" spans="1:2" x14ac:dyDescent="0.25">
      <c r="A75" s="2" t="s">
        <v>76</v>
      </c>
      <c r="B75" t="b">
        <v>0</v>
      </c>
    </row>
    <row r="76" spans="1:2" x14ac:dyDescent="0.25">
      <c r="A76" s="2" t="s">
        <v>77</v>
      </c>
      <c r="B76" t="b">
        <v>0</v>
      </c>
    </row>
    <row r="77" spans="1:2" x14ac:dyDescent="0.25">
      <c r="A77" s="2" t="s">
        <v>78</v>
      </c>
      <c r="B77" t="b">
        <v>0</v>
      </c>
    </row>
    <row r="78" spans="1:2" x14ac:dyDescent="0.25">
      <c r="A78" s="2" t="s">
        <v>79</v>
      </c>
      <c r="B78" t="b">
        <v>0</v>
      </c>
    </row>
    <row r="79" spans="1:2" x14ac:dyDescent="0.25">
      <c r="A79" s="2" t="s">
        <v>80</v>
      </c>
      <c r="B79" t="b">
        <v>0</v>
      </c>
    </row>
    <row r="80" spans="1:2" x14ac:dyDescent="0.25">
      <c r="A80" s="2" t="s">
        <v>81</v>
      </c>
      <c r="B80" t="b">
        <v>0</v>
      </c>
    </row>
    <row r="81" spans="1:2" x14ac:dyDescent="0.25">
      <c r="A81" s="2" t="s">
        <v>82</v>
      </c>
      <c r="B81" t="b">
        <v>0</v>
      </c>
    </row>
    <row r="82" spans="1:2" x14ac:dyDescent="0.25">
      <c r="A82" s="2" t="s">
        <v>83</v>
      </c>
      <c r="B82" t="b">
        <v>0</v>
      </c>
    </row>
    <row r="83" spans="1:2" x14ac:dyDescent="0.25">
      <c r="A83" s="2" t="s">
        <v>84</v>
      </c>
      <c r="B83" t="b">
        <v>0</v>
      </c>
    </row>
    <row r="84" spans="1:2" x14ac:dyDescent="0.25">
      <c r="A84" s="2" t="s">
        <v>85</v>
      </c>
      <c r="B84" t="b">
        <v>0</v>
      </c>
    </row>
    <row r="85" spans="1:2" x14ac:dyDescent="0.25">
      <c r="A85" s="2" t="s">
        <v>86</v>
      </c>
      <c r="B85" t="b">
        <v>0</v>
      </c>
    </row>
    <row r="86" spans="1:2" x14ac:dyDescent="0.25">
      <c r="A86" s="2" t="s">
        <v>87</v>
      </c>
      <c r="B86" t="b">
        <v>0</v>
      </c>
    </row>
    <row r="87" spans="1:2" x14ac:dyDescent="0.25">
      <c r="A87" s="2" t="s">
        <v>88</v>
      </c>
      <c r="B87" t="b">
        <v>0</v>
      </c>
    </row>
    <row r="88" spans="1:2" x14ac:dyDescent="0.25">
      <c r="A88" s="2" t="s">
        <v>89</v>
      </c>
      <c r="B88" t="b">
        <v>0</v>
      </c>
    </row>
    <row r="89" spans="1:2" x14ac:dyDescent="0.25">
      <c r="A89" s="2" t="s">
        <v>90</v>
      </c>
      <c r="B89" t="b">
        <v>0</v>
      </c>
    </row>
    <row r="90" spans="1:2" x14ac:dyDescent="0.25">
      <c r="A90" s="2" t="s">
        <v>91</v>
      </c>
      <c r="B90" t="b">
        <v>0</v>
      </c>
    </row>
    <row r="91" spans="1:2" x14ac:dyDescent="0.25">
      <c r="A91" s="2" t="s">
        <v>92</v>
      </c>
      <c r="B91" t="b">
        <v>0</v>
      </c>
    </row>
    <row r="92" spans="1:2" x14ac:dyDescent="0.25">
      <c r="A92" s="2" t="s">
        <v>93</v>
      </c>
      <c r="B92" t="b">
        <v>0</v>
      </c>
    </row>
    <row r="93" spans="1:2" x14ac:dyDescent="0.25">
      <c r="A93" s="2" t="s">
        <v>94</v>
      </c>
      <c r="B93" t="b">
        <v>0</v>
      </c>
    </row>
    <row r="94" spans="1:2" x14ac:dyDescent="0.25">
      <c r="A94" s="2" t="s">
        <v>95</v>
      </c>
      <c r="B94" t="b">
        <v>0</v>
      </c>
    </row>
    <row r="95" spans="1:2" x14ac:dyDescent="0.25">
      <c r="A95" s="2" t="s">
        <v>96</v>
      </c>
      <c r="B95" t="b">
        <v>0</v>
      </c>
    </row>
    <row r="96" spans="1:2" x14ac:dyDescent="0.25">
      <c r="A96" s="2" t="s">
        <v>97</v>
      </c>
      <c r="B96" t="b">
        <v>0</v>
      </c>
    </row>
    <row r="97" spans="1:2" x14ac:dyDescent="0.25">
      <c r="A97" s="2" t="s">
        <v>98</v>
      </c>
      <c r="B97" t="b">
        <v>0</v>
      </c>
    </row>
    <row r="98" spans="1:2" x14ac:dyDescent="0.25">
      <c r="A98" s="2" t="s">
        <v>99</v>
      </c>
      <c r="B98" t="b">
        <v>0</v>
      </c>
    </row>
    <row r="99" spans="1:2" x14ac:dyDescent="0.25">
      <c r="A99" s="2" t="s">
        <v>100</v>
      </c>
      <c r="B99" t="b">
        <v>0</v>
      </c>
    </row>
    <row r="100" spans="1:2" x14ac:dyDescent="0.25">
      <c r="A100" s="2" t="s">
        <v>101</v>
      </c>
      <c r="B100" t="b">
        <v>0</v>
      </c>
    </row>
    <row r="101" spans="1:2" x14ac:dyDescent="0.25">
      <c r="A101" s="2" t="s">
        <v>102</v>
      </c>
      <c r="B101" t="b">
        <v>0</v>
      </c>
    </row>
    <row r="102" spans="1:2" x14ac:dyDescent="0.25">
      <c r="A102" s="2" t="s">
        <v>103</v>
      </c>
      <c r="B102" t="b">
        <v>0</v>
      </c>
    </row>
    <row r="103" spans="1:2" x14ac:dyDescent="0.25">
      <c r="A103" s="2" t="s">
        <v>104</v>
      </c>
      <c r="B103" t="b">
        <v>0</v>
      </c>
    </row>
    <row r="104" spans="1:2" x14ac:dyDescent="0.25">
      <c r="A104" s="2" t="s">
        <v>105</v>
      </c>
      <c r="B104" t="b">
        <v>1</v>
      </c>
    </row>
    <row r="105" spans="1:2" x14ac:dyDescent="0.25">
      <c r="A105" s="2" t="s">
        <v>106</v>
      </c>
      <c r="B105" t="b">
        <v>0</v>
      </c>
    </row>
    <row r="106" spans="1:2" x14ac:dyDescent="0.25">
      <c r="A106" s="2" t="s">
        <v>107</v>
      </c>
      <c r="B106" t="b">
        <v>0</v>
      </c>
    </row>
    <row r="107" spans="1:2" x14ac:dyDescent="0.25">
      <c r="A107" s="2" t="s">
        <v>108</v>
      </c>
      <c r="B107" t="b">
        <v>0</v>
      </c>
    </row>
    <row r="108" spans="1:2" x14ac:dyDescent="0.25">
      <c r="A108" s="2" t="s">
        <v>109</v>
      </c>
      <c r="B108" t="b">
        <v>0</v>
      </c>
    </row>
    <row r="109" spans="1:2" x14ac:dyDescent="0.25">
      <c r="A109" s="2" t="s">
        <v>110</v>
      </c>
      <c r="B109" t="b">
        <v>0</v>
      </c>
    </row>
    <row r="110" spans="1:2" x14ac:dyDescent="0.25">
      <c r="A110" s="2" t="s">
        <v>111</v>
      </c>
      <c r="B110" t="b">
        <v>0</v>
      </c>
    </row>
    <row r="111" spans="1:2" x14ac:dyDescent="0.25">
      <c r="A111" s="2" t="s">
        <v>112</v>
      </c>
      <c r="B111" t="b">
        <v>0</v>
      </c>
    </row>
    <row r="112" spans="1:2" x14ac:dyDescent="0.25">
      <c r="A112" s="2" t="s">
        <v>113</v>
      </c>
      <c r="B112" t="b">
        <v>0</v>
      </c>
    </row>
    <row r="113" spans="1:2" x14ac:dyDescent="0.25">
      <c r="A113" s="2" t="s">
        <v>114</v>
      </c>
      <c r="B113" t="b">
        <v>0</v>
      </c>
    </row>
    <row r="114" spans="1:2" x14ac:dyDescent="0.25">
      <c r="A114" s="2" t="s">
        <v>115</v>
      </c>
      <c r="B114" t="b">
        <v>0</v>
      </c>
    </row>
    <row r="115" spans="1:2" x14ac:dyDescent="0.25">
      <c r="A115" s="2" t="s">
        <v>116</v>
      </c>
      <c r="B115" t="b">
        <v>0</v>
      </c>
    </row>
    <row r="116" spans="1:2" x14ac:dyDescent="0.25">
      <c r="A116" s="2" t="s">
        <v>117</v>
      </c>
      <c r="B116" t="b">
        <v>0</v>
      </c>
    </row>
    <row r="117" spans="1:2" x14ac:dyDescent="0.25">
      <c r="A117" s="2" t="s">
        <v>118</v>
      </c>
      <c r="B117" t="b">
        <v>0</v>
      </c>
    </row>
    <row r="118" spans="1:2" x14ac:dyDescent="0.25">
      <c r="A118" s="2" t="s">
        <v>119</v>
      </c>
      <c r="B118" t="b">
        <v>0</v>
      </c>
    </row>
    <row r="119" spans="1:2" x14ac:dyDescent="0.25">
      <c r="A119" s="2" t="s">
        <v>120</v>
      </c>
      <c r="B119" t="b">
        <v>0</v>
      </c>
    </row>
    <row r="120" spans="1:2" x14ac:dyDescent="0.25">
      <c r="A120" s="2" t="s">
        <v>121</v>
      </c>
      <c r="B120" t="b">
        <v>0</v>
      </c>
    </row>
    <row r="121" spans="1:2" x14ac:dyDescent="0.25">
      <c r="A121" s="2" t="s">
        <v>122</v>
      </c>
      <c r="B121" t="b">
        <v>0</v>
      </c>
    </row>
    <row r="122" spans="1:2" x14ac:dyDescent="0.25">
      <c r="A122" s="2" t="s">
        <v>123</v>
      </c>
      <c r="B122" t="b">
        <v>0</v>
      </c>
    </row>
    <row r="123" spans="1:2" x14ac:dyDescent="0.25">
      <c r="A123" s="2" t="s">
        <v>124</v>
      </c>
      <c r="B123" t="b">
        <v>0</v>
      </c>
    </row>
    <row r="124" spans="1:2" x14ac:dyDescent="0.25">
      <c r="A124" s="2" t="s">
        <v>125</v>
      </c>
      <c r="B124" t="b">
        <v>0</v>
      </c>
    </row>
    <row r="125" spans="1:2" x14ac:dyDescent="0.25">
      <c r="A125" s="2" t="s">
        <v>126</v>
      </c>
      <c r="B125" t="b">
        <v>0</v>
      </c>
    </row>
    <row r="126" spans="1:2" x14ac:dyDescent="0.25">
      <c r="A126" s="2" t="s">
        <v>127</v>
      </c>
      <c r="B126" t="b">
        <v>0</v>
      </c>
    </row>
    <row r="127" spans="1:2" x14ac:dyDescent="0.25">
      <c r="A127" s="2" t="s">
        <v>128</v>
      </c>
      <c r="B127" t="b">
        <v>0</v>
      </c>
    </row>
    <row r="128" spans="1:2" x14ac:dyDescent="0.25">
      <c r="A128" s="2" t="s">
        <v>129</v>
      </c>
      <c r="B128" t="b">
        <v>0</v>
      </c>
    </row>
    <row r="129" spans="1:2" x14ac:dyDescent="0.25">
      <c r="A129" s="2" t="s">
        <v>130</v>
      </c>
      <c r="B129" t="b">
        <v>0</v>
      </c>
    </row>
    <row r="130" spans="1:2" x14ac:dyDescent="0.25">
      <c r="A130" s="2" t="s">
        <v>131</v>
      </c>
      <c r="B130" t="b">
        <v>0</v>
      </c>
    </row>
    <row r="131" spans="1:2" x14ac:dyDescent="0.25">
      <c r="A131" s="2" t="s">
        <v>132</v>
      </c>
      <c r="B131" t="b">
        <v>0</v>
      </c>
    </row>
    <row r="132" spans="1:2" x14ac:dyDescent="0.25">
      <c r="A132" s="2" t="s">
        <v>133</v>
      </c>
      <c r="B132" t="b">
        <v>0</v>
      </c>
    </row>
    <row r="133" spans="1:2" x14ac:dyDescent="0.25">
      <c r="A133" s="2" t="s">
        <v>134</v>
      </c>
      <c r="B133" t="b">
        <v>0</v>
      </c>
    </row>
    <row r="134" spans="1:2" x14ac:dyDescent="0.25">
      <c r="A134" s="2" t="s">
        <v>135</v>
      </c>
      <c r="B134" t="b">
        <v>0</v>
      </c>
    </row>
    <row r="135" spans="1:2" x14ac:dyDescent="0.25">
      <c r="A135" s="2" t="s">
        <v>136</v>
      </c>
      <c r="B135" t="b">
        <v>0</v>
      </c>
    </row>
    <row r="136" spans="1:2" x14ac:dyDescent="0.25">
      <c r="A136" s="2" t="s">
        <v>137</v>
      </c>
      <c r="B136" t="b">
        <v>0</v>
      </c>
    </row>
    <row r="137" spans="1:2" x14ac:dyDescent="0.25">
      <c r="A137" s="2" t="s">
        <v>138</v>
      </c>
      <c r="B137" t="b">
        <v>0</v>
      </c>
    </row>
    <row r="138" spans="1:2" x14ac:dyDescent="0.25">
      <c r="A138" s="2" t="s">
        <v>139</v>
      </c>
      <c r="B138" t="b">
        <v>0</v>
      </c>
    </row>
    <row r="139" spans="1:2" x14ac:dyDescent="0.25">
      <c r="A139" s="2" t="s">
        <v>140</v>
      </c>
      <c r="B139" t="b">
        <v>0</v>
      </c>
    </row>
    <row r="140" spans="1:2" x14ac:dyDescent="0.25">
      <c r="A140" s="2" t="s">
        <v>141</v>
      </c>
      <c r="B140" t="b">
        <v>0</v>
      </c>
    </row>
    <row r="141" spans="1:2" x14ac:dyDescent="0.25">
      <c r="A141" s="2" t="s">
        <v>142</v>
      </c>
      <c r="B141" t="b">
        <v>0</v>
      </c>
    </row>
    <row r="142" spans="1:2" x14ac:dyDescent="0.25">
      <c r="A142" s="2" t="s">
        <v>143</v>
      </c>
      <c r="B142" t="b">
        <v>0</v>
      </c>
    </row>
    <row r="143" spans="1:2" x14ac:dyDescent="0.25">
      <c r="A143" s="2" t="s">
        <v>144</v>
      </c>
      <c r="B143" t="b">
        <v>0</v>
      </c>
    </row>
    <row r="144" spans="1:2" x14ac:dyDescent="0.25">
      <c r="A144" s="2" t="s">
        <v>145</v>
      </c>
      <c r="B144" t="b">
        <v>0</v>
      </c>
    </row>
    <row r="145" spans="1:2" x14ac:dyDescent="0.25">
      <c r="A145" s="2" t="s">
        <v>146</v>
      </c>
      <c r="B145" t="b">
        <v>0</v>
      </c>
    </row>
    <row r="146" spans="1:2" x14ac:dyDescent="0.25">
      <c r="A146" s="2" t="s">
        <v>147</v>
      </c>
      <c r="B146" t="b">
        <v>0</v>
      </c>
    </row>
    <row r="147" spans="1:2" x14ac:dyDescent="0.25">
      <c r="A147" s="2" t="s">
        <v>148</v>
      </c>
      <c r="B147" t="b">
        <v>0</v>
      </c>
    </row>
    <row r="148" spans="1:2" x14ac:dyDescent="0.25">
      <c r="A148" s="2" t="s">
        <v>149</v>
      </c>
      <c r="B148" t="b">
        <v>0</v>
      </c>
    </row>
    <row r="149" spans="1:2" x14ac:dyDescent="0.25">
      <c r="A149" s="2" t="s">
        <v>150</v>
      </c>
      <c r="B149" t="b">
        <v>0</v>
      </c>
    </row>
    <row r="150" spans="1:2" x14ac:dyDescent="0.25">
      <c r="A150" s="2" t="s">
        <v>151</v>
      </c>
      <c r="B150" t="b">
        <v>0</v>
      </c>
    </row>
    <row r="151" spans="1:2" x14ac:dyDescent="0.25">
      <c r="A151" s="2" t="s">
        <v>152</v>
      </c>
      <c r="B151" t="b">
        <v>0</v>
      </c>
    </row>
    <row r="152" spans="1:2" x14ac:dyDescent="0.25">
      <c r="A152" s="2" t="s">
        <v>153</v>
      </c>
      <c r="B152" t="b">
        <v>0</v>
      </c>
    </row>
    <row r="153" spans="1:2" x14ac:dyDescent="0.25">
      <c r="A153" s="2" t="s">
        <v>154</v>
      </c>
      <c r="B153" t="b">
        <v>0</v>
      </c>
    </row>
    <row r="154" spans="1:2" x14ac:dyDescent="0.25">
      <c r="A154" s="2" t="s">
        <v>155</v>
      </c>
      <c r="B154" t="b">
        <v>0</v>
      </c>
    </row>
    <row r="155" spans="1:2" x14ac:dyDescent="0.25">
      <c r="A155" s="2" t="s">
        <v>156</v>
      </c>
      <c r="B155" t="b">
        <v>0</v>
      </c>
    </row>
    <row r="156" spans="1:2" x14ac:dyDescent="0.25">
      <c r="A156" s="2" t="s">
        <v>157</v>
      </c>
      <c r="B156" t="b">
        <v>0</v>
      </c>
    </row>
    <row r="157" spans="1:2" x14ac:dyDescent="0.25">
      <c r="A157" s="2" t="s">
        <v>158</v>
      </c>
      <c r="B157" t="b">
        <v>0</v>
      </c>
    </row>
    <row r="158" spans="1:2" x14ac:dyDescent="0.25">
      <c r="A158" s="2" t="s">
        <v>159</v>
      </c>
      <c r="B158" t="b">
        <v>0</v>
      </c>
    </row>
    <row r="159" spans="1:2" x14ac:dyDescent="0.25">
      <c r="A159" s="2" t="s">
        <v>160</v>
      </c>
      <c r="B159" t="b">
        <v>0</v>
      </c>
    </row>
    <row r="160" spans="1:2" x14ac:dyDescent="0.25">
      <c r="A160" s="2" t="s">
        <v>161</v>
      </c>
      <c r="B160" t="b">
        <v>0</v>
      </c>
    </row>
    <row r="161" spans="1:2" x14ac:dyDescent="0.25">
      <c r="A161" s="2" t="s">
        <v>162</v>
      </c>
      <c r="B161" t="b">
        <v>0</v>
      </c>
    </row>
    <row r="162" spans="1:2" x14ac:dyDescent="0.25">
      <c r="A162" s="2" t="s">
        <v>163</v>
      </c>
      <c r="B162" t="b">
        <v>0</v>
      </c>
    </row>
    <row r="163" spans="1:2" x14ac:dyDescent="0.25">
      <c r="A163" s="2" t="s">
        <v>164</v>
      </c>
      <c r="B163" t="b">
        <v>0</v>
      </c>
    </row>
    <row r="164" spans="1:2" x14ac:dyDescent="0.25">
      <c r="A164" s="2" t="s">
        <v>165</v>
      </c>
      <c r="B164" t="b">
        <v>0</v>
      </c>
    </row>
    <row r="165" spans="1:2" x14ac:dyDescent="0.25">
      <c r="A165" s="2" t="s">
        <v>166</v>
      </c>
      <c r="B165" t="b">
        <v>0</v>
      </c>
    </row>
    <row r="166" spans="1:2" x14ac:dyDescent="0.25">
      <c r="A166" s="2" t="s">
        <v>167</v>
      </c>
      <c r="B166" t="b">
        <v>0</v>
      </c>
    </row>
    <row r="167" spans="1:2" x14ac:dyDescent="0.25">
      <c r="A167" s="2" t="s">
        <v>168</v>
      </c>
      <c r="B167" t="b">
        <v>0</v>
      </c>
    </row>
    <row r="168" spans="1:2" x14ac:dyDescent="0.25">
      <c r="A168" s="2" t="s">
        <v>169</v>
      </c>
      <c r="B168" t="b">
        <v>0</v>
      </c>
    </row>
    <row r="169" spans="1:2" x14ac:dyDescent="0.25">
      <c r="A169" s="2" t="s">
        <v>170</v>
      </c>
      <c r="B169" t="b">
        <v>0</v>
      </c>
    </row>
    <row r="170" spans="1:2" x14ac:dyDescent="0.25">
      <c r="A170" s="2" t="s">
        <v>171</v>
      </c>
      <c r="B170" t="b">
        <v>0</v>
      </c>
    </row>
    <row r="171" spans="1:2" x14ac:dyDescent="0.25">
      <c r="A171" s="2" t="s">
        <v>172</v>
      </c>
      <c r="B171" t="b">
        <v>0</v>
      </c>
    </row>
    <row r="172" spans="1:2" x14ac:dyDescent="0.25">
      <c r="A172" s="2" t="s">
        <v>173</v>
      </c>
      <c r="B172" t="b">
        <v>0</v>
      </c>
    </row>
    <row r="173" spans="1:2" x14ac:dyDescent="0.25">
      <c r="A173" s="2" t="s">
        <v>174</v>
      </c>
      <c r="B173" t="b">
        <v>0</v>
      </c>
    </row>
    <row r="174" spans="1:2" x14ac:dyDescent="0.25">
      <c r="A174" s="2" t="s">
        <v>175</v>
      </c>
      <c r="B174" t="b">
        <v>0</v>
      </c>
    </row>
    <row r="175" spans="1:2" x14ac:dyDescent="0.25">
      <c r="A175" s="2" t="s">
        <v>176</v>
      </c>
      <c r="B175" t="b">
        <v>0</v>
      </c>
    </row>
    <row r="176" spans="1:2" x14ac:dyDescent="0.25">
      <c r="A176" s="2" t="s">
        <v>177</v>
      </c>
      <c r="B176" t="b">
        <v>0</v>
      </c>
    </row>
    <row r="177" spans="1:2" x14ac:dyDescent="0.25">
      <c r="A177" s="2" t="s">
        <v>178</v>
      </c>
      <c r="B177" t="b">
        <v>0</v>
      </c>
    </row>
    <row r="178" spans="1:2" x14ac:dyDescent="0.25">
      <c r="A178" s="2" t="s">
        <v>179</v>
      </c>
      <c r="B178" t="b">
        <v>0</v>
      </c>
    </row>
    <row r="179" spans="1:2" x14ac:dyDescent="0.25">
      <c r="A179" s="2" t="s">
        <v>180</v>
      </c>
      <c r="B179" t="b">
        <v>0</v>
      </c>
    </row>
    <row r="180" spans="1:2" x14ac:dyDescent="0.25">
      <c r="A180" s="2" t="s">
        <v>181</v>
      </c>
      <c r="B180" t="b">
        <v>0</v>
      </c>
    </row>
    <row r="181" spans="1:2" x14ac:dyDescent="0.25">
      <c r="A181" s="2" t="s">
        <v>182</v>
      </c>
      <c r="B181" t="b">
        <v>0</v>
      </c>
    </row>
    <row r="182" spans="1:2" x14ac:dyDescent="0.25">
      <c r="A182" s="2" t="s">
        <v>183</v>
      </c>
      <c r="B182" t="b">
        <v>0</v>
      </c>
    </row>
    <row r="183" spans="1:2" x14ac:dyDescent="0.25">
      <c r="A183" s="2" t="s">
        <v>184</v>
      </c>
      <c r="B183" t="b">
        <v>0</v>
      </c>
    </row>
    <row r="184" spans="1:2" x14ac:dyDescent="0.25">
      <c r="A184" s="2" t="s">
        <v>185</v>
      </c>
      <c r="B184" t="b">
        <v>0</v>
      </c>
    </row>
    <row r="185" spans="1:2" x14ac:dyDescent="0.25">
      <c r="A185" s="2" t="s">
        <v>186</v>
      </c>
      <c r="B185" t="b">
        <v>0</v>
      </c>
    </row>
    <row r="186" spans="1:2" x14ac:dyDescent="0.25">
      <c r="A186" s="2" t="s">
        <v>187</v>
      </c>
      <c r="B186" t="b">
        <v>0</v>
      </c>
    </row>
    <row r="187" spans="1:2" x14ac:dyDescent="0.25">
      <c r="A187" s="2" t="s">
        <v>188</v>
      </c>
      <c r="B187" t="b">
        <v>0</v>
      </c>
    </row>
    <row r="188" spans="1:2" x14ac:dyDescent="0.25">
      <c r="A188" s="2" t="s">
        <v>189</v>
      </c>
      <c r="B188" t="b">
        <v>0</v>
      </c>
    </row>
    <row r="189" spans="1:2" x14ac:dyDescent="0.25">
      <c r="A189" s="2" t="s">
        <v>190</v>
      </c>
      <c r="B189" t="b">
        <v>0</v>
      </c>
    </row>
    <row r="190" spans="1:2" x14ac:dyDescent="0.25">
      <c r="A190" s="2" t="s">
        <v>191</v>
      </c>
      <c r="B190" t="b">
        <v>0</v>
      </c>
    </row>
    <row r="191" spans="1:2" x14ac:dyDescent="0.25">
      <c r="A191" s="2" t="s">
        <v>192</v>
      </c>
      <c r="B191" t="b">
        <v>0</v>
      </c>
    </row>
    <row r="192" spans="1:2" x14ac:dyDescent="0.25">
      <c r="A192" s="2" t="s">
        <v>193</v>
      </c>
      <c r="B192" t="b">
        <v>0</v>
      </c>
    </row>
    <row r="193" spans="1:2" x14ac:dyDescent="0.25">
      <c r="A193" s="2" t="s">
        <v>194</v>
      </c>
      <c r="B193" t="b">
        <v>0</v>
      </c>
    </row>
    <row r="194" spans="1:2" x14ac:dyDescent="0.25">
      <c r="A194" s="2" t="s">
        <v>195</v>
      </c>
      <c r="B194" t="b">
        <v>0</v>
      </c>
    </row>
    <row r="195" spans="1:2" x14ac:dyDescent="0.25">
      <c r="A195" s="2" t="s">
        <v>196</v>
      </c>
      <c r="B195" t="b">
        <v>0</v>
      </c>
    </row>
    <row r="196" spans="1:2" x14ac:dyDescent="0.25">
      <c r="A196" s="2" t="s">
        <v>197</v>
      </c>
      <c r="B196" t="b">
        <v>0</v>
      </c>
    </row>
    <row r="197" spans="1:2" x14ac:dyDescent="0.25">
      <c r="A197" s="2" t="s">
        <v>198</v>
      </c>
      <c r="B197" t="b">
        <v>0</v>
      </c>
    </row>
    <row r="198" spans="1:2" x14ac:dyDescent="0.25">
      <c r="A198" s="2" t="s">
        <v>199</v>
      </c>
      <c r="B198" t="b">
        <v>0</v>
      </c>
    </row>
    <row r="199" spans="1:2" x14ac:dyDescent="0.25">
      <c r="A199" s="2" t="s">
        <v>200</v>
      </c>
      <c r="B199" t="b">
        <v>0</v>
      </c>
    </row>
    <row r="200" spans="1:2" x14ac:dyDescent="0.25">
      <c r="A200" s="2" t="s">
        <v>201</v>
      </c>
      <c r="B200" t="b">
        <v>0</v>
      </c>
    </row>
    <row r="201" spans="1:2" x14ac:dyDescent="0.25">
      <c r="A201" s="2" t="s">
        <v>202</v>
      </c>
      <c r="B201" t="b">
        <v>0</v>
      </c>
    </row>
    <row r="202" spans="1:2" x14ac:dyDescent="0.25">
      <c r="A202" s="2" t="s">
        <v>203</v>
      </c>
      <c r="B202" t="b">
        <v>0</v>
      </c>
    </row>
    <row r="203" spans="1:2" x14ac:dyDescent="0.25">
      <c r="A203" s="2" t="s">
        <v>204</v>
      </c>
      <c r="B203" t="b">
        <v>0</v>
      </c>
    </row>
    <row r="204" spans="1:2" x14ac:dyDescent="0.25">
      <c r="A204" s="2" t="s">
        <v>205</v>
      </c>
      <c r="B204" t="b">
        <v>0</v>
      </c>
    </row>
    <row r="205" spans="1:2" x14ac:dyDescent="0.25">
      <c r="A205" s="2" t="s">
        <v>206</v>
      </c>
      <c r="B205" t="b">
        <v>0</v>
      </c>
    </row>
    <row r="206" spans="1:2" x14ac:dyDescent="0.25">
      <c r="A206" s="2" t="s">
        <v>207</v>
      </c>
      <c r="B206" t="b">
        <v>0</v>
      </c>
    </row>
    <row r="207" spans="1:2" x14ac:dyDescent="0.25">
      <c r="A207" s="2" t="s">
        <v>208</v>
      </c>
      <c r="B207" t="b">
        <v>0</v>
      </c>
    </row>
    <row r="208" spans="1:2" x14ac:dyDescent="0.25">
      <c r="A208" s="2" t="s">
        <v>209</v>
      </c>
      <c r="B208" t="b">
        <v>0</v>
      </c>
    </row>
    <row r="209" spans="1:2" x14ac:dyDescent="0.25">
      <c r="A209" s="2" t="s">
        <v>210</v>
      </c>
      <c r="B209" t="b">
        <v>0</v>
      </c>
    </row>
    <row r="210" spans="1:2" x14ac:dyDescent="0.25">
      <c r="A210" s="2" t="s">
        <v>211</v>
      </c>
      <c r="B210" t="b">
        <v>0</v>
      </c>
    </row>
    <row r="211" spans="1:2" x14ac:dyDescent="0.25">
      <c r="A211" s="2" t="s">
        <v>212</v>
      </c>
      <c r="B211" t="b">
        <v>0</v>
      </c>
    </row>
    <row r="212" spans="1:2" x14ac:dyDescent="0.25">
      <c r="A212" s="2" t="s">
        <v>213</v>
      </c>
      <c r="B212" t="b">
        <v>0</v>
      </c>
    </row>
    <row r="213" spans="1:2" x14ac:dyDescent="0.25">
      <c r="A213" s="2" t="s">
        <v>214</v>
      </c>
      <c r="B213" t="b">
        <v>0</v>
      </c>
    </row>
    <row r="214" spans="1:2" x14ac:dyDescent="0.25">
      <c r="A214" s="2" t="s">
        <v>215</v>
      </c>
      <c r="B214" t="b">
        <v>0</v>
      </c>
    </row>
    <row r="215" spans="1:2" x14ac:dyDescent="0.25">
      <c r="A215" s="2" t="s">
        <v>216</v>
      </c>
      <c r="B215" t="b">
        <v>0</v>
      </c>
    </row>
    <row r="216" spans="1:2" x14ac:dyDescent="0.25">
      <c r="A216" s="2" t="s">
        <v>217</v>
      </c>
      <c r="B216" t="b">
        <v>0</v>
      </c>
    </row>
    <row r="217" spans="1:2" x14ac:dyDescent="0.25">
      <c r="A217" s="2" t="s">
        <v>218</v>
      </c>
      <c r="B217" t="b">
        <v>0</v>
      </c>
    </row>
    <row r="218" spans="1:2" x14ac:dyDescent="0.25">
      <c r="A218" s="2" t="s">
        <v>219</v>
      </c>
      <c r="B218" t="b">
        <v>0</v>
      </c>
    </row>
    <row r="219" spans="1:2" x14ac:dyDescent="0.25">
      <c r="A219" s="2" t="s">
        <v>220</v>
      </c>
      <c r="B219" t="b">
        <v>0</v>
      </c>
    </row>
    <row r="220" spans="1:2" x14ac:dyDescent="0.25">
      <c r="A220" s="2" t="s">
        <v>221</v>
      </c>
      <c r="B220" t="b">
        <v>0</v>
      </c>
    </row>
    <row r="221" spans="1:2" x14ac:dyDescent="0.25">
      <c r="A221" s="2" t="s">
        <v>222</v>
      </c>
      <c r="B221" t="b">
        <v>0</v>
      </c>
    </row>
    <row r="222" spans="1:2" x14ac:dyDescent="0.25">
      <c r="A222" s="2" t="s">
        <v>223</v>
      </c>
      <c r="B222" t="b">
        <v>0</v>
      </c>
    </row>
    <row r="223" spans="1:2" x14ac:dyDescent="0.25">
      <c r="A223" s="2" t="s">
        <v>224</v>
      </c>
      <c r="B223" t="b">
        <v>0</v>
      </c>
    </row>
    <row r="224" spans="1:2" x14ac:dyDescent="0.25">
      <c r="A224" s="2" t="s">
        <v>225</v>
      </c>
      <c r="B224" t="b">
        <v>0</v>
      </c>
    </row>
    <row r="225" spans="1:2" x14ac:dyDescent="0.25">
      <c r="A225" s="2" t="s">
        <v>226</v>
      </c>
      <c r="B225" t="b">
        <v>0</v>
      </c>
    </row>
    <row r="226" spans="1:2" x14ac:dyDescent="0.25">
      <c r="A226" s="2" t="s">
        <v>227</v>
      </c>
      <c r="B226" t="b">
        <v>0</v>
      </c>
    </row>
    <row r="227" spans="1:2" x14ac:dyDescent="0.25">
      <c r="A227" s="2" t="s">
        <v>228</v>
      </c>
      <c r="B227" t="b">
        <v>0</v>
      </c>
    </row>
    <row r="228" spans="1:2" x14ac:dyDescent="0.25">
      <c r="A228" s="2" t="s">
        <v>229</v>
      </c>
      <c r="B228" t="b">
        <v>0</v>
      </c>
    </row>
    <row r="229" spans="1:2" x14ac:dyDescent="0.25">
      <c r="A229" s="2" t="s">
        <v>230</v>
      </c>
      <c r="B229" t="b">
        <v>0</v>
      </c>
    </row>
    <row r="230" spans="1:2" x14ac:dyDescent="0.25">
      <c r="A230" s="2" t="s">
        <v>231</v>
      </c>
      <c r="B230" t="b">
        <v>0</v>
      </c>
    </row>
    <row r="231" spans="1:2" x14ac:dyDescent="0.25">
      <c r="A231" s="2" t="s">
        <v>232</v>
      </c>
      <c r="B231" t="b">
        <v>0</v>
      </c>
    </row>
    <row r="232" spans="1:2" x14ac:dyDescent="0.25">
      <c r="A232" s="2" t="s">
        <v>233</v>
      </c>
      <c r="B232" t="b">
        <v>0</v>
      </c>
    </row>
    <row r="233" spans="1:2" x14ac:dyDescent="0.25">
      <c r="A233" s="2" t="s">
        <v>234</v>
      </c>
      <c r="B233" t="b">
        <v>0</v>
      </c>
    </row>
    <row r="234" spans="1:2" x14ac:dyDescent="0.25">
      <c r="A234" s="2" t="s">
        <v>235</v>
      </c>
      <c r="B234" t="b">
        <v>0</v>
      </c>
    </row>
    <row r="235" spans="1:2" x14ac:dyDescent="0.25">
      <c r="A235" s="2" t="s">
        <v>236</v>
      </c>
      <c r="B235" t="b">
        <v>0</v>
      </c>
    </row>
    <row r="236" spans="1:2" x14ac:dyDescent="0.25">
      <c r="A236" s="2" t="s">
        <v>237</v>
      </c>
      <c r="B236" t="b">
        <v>0</v>
      </c>
    </row>
    <row r="237" spans="1:2" x14ac:dyDescent="0.25">
      <c r="A237" s="2" t="s">
        <v>238</v>
      </c>
      <c r="B237" t="b">
        <v>0</v>
      </c>
    </row>
    <row r="238" spans="1:2" x14ac:dyDescent="0.25">
      <c r="A238" s="2" t="s">
        <v>239</v>
      </c>
      <c r="B238" t="b">
        <v>0</v>
      </c>
    </row>
    <row r="239" spans="1:2" x14ac:dyDescent="0.25">
      <c r="A239" s="2" t="s">
        <v>240</v>
      </c>
      <c r="B239" t="b">
        <v>0</v>
      </c>
    </row>
    <row r="240" spans="1:2" x14ac:dyDescent="0.25">
      <c r="A240" s="2" t="s">
        <v>241</v>
      </c>
      <c r="B240" t="b">
        <v>0</v>
      </c>
    </row>
    <row r="241" spans="1:2" x14ac:dyDescent="0.25">
      <c r="A241" s="2" t="s">
        <v>242</v>
      </c>
      <c r="B241" t="b">
        <v>0</v>
      </c>
    </row>
    <row r="242" spans="1:2" x14ac:dyDescent="0.25">
      <c r="A242" s="2" t="s">
        <v>243</v>
      </c>
      <c r="B242" t="b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workbookViewId="0">
      <selection activeCell="E11" sqref="E11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8.1571457613336049E-2</v>
      </c>
      <c r="C2">
        <v>0.27371071392287838</v>
      </c>
    </row>
    <row r="3" spans="1:3" x14ac:dyDescent="0.25">
      <c r="A3" t="s">
        <v>4</v>
      </c>
      <c r="B3">
        <v>8.6907908111404752E-2</v>
      </c>
      <c r="C3">
        <v>0.28170005967181538</v>
      </c>
    </row>
    <row r="4" spans="1:3" x14ac:dyDescent="0.25">
      <c r="A4" t="s">
        <v>5</v>
      </c>
      <c r="B4">
        <v>9.4175645456393578E-2</v>
      </c>
      <c r="C4">
        <v>0.29207292455697642</v>
      </c>
    </row>
    <row r="5" spans="1:3" x14ac:dyDescent="0.25">
      <c r="A5" t="s">
        <v>6</v>
      </c>
      <c r="B5">
        <v>7.7607237243342148E-2</v>
      </c>
      <c r="C5">
        <v>0.26755252562963727</v>
      </c>
    </row>
    <row r="6" spans="1:3" x14ac:dyDescent="0.25">
      <c r="A6" t="s">
        <v>7</v>
      </c>
      <c r="B6">
        <v>7.9284407399878021E-2</v>
      </c>
      <c r="C6">
        <v>0.27018214253190048</v>
      </c>
    </row>
    <row r="7" spans="1:3" x14ac:dyDescent="0.25">
      <c r="A7" t="s">
        <v>8</v>
      </c>
      <c r="B7">
        <v>8.553567798332995E-2</v>
      </c>
      <c r="C7">
        <v>0.27967718136319603</v>
      </c>
    </row>
    <row r="8" spans="1:3" x14ac:dyDescent="0.25">
      <c r="A8" t="s">
        <v>9</v>
      </c>
      <c r="B8">
        <v>8.553567798332995E-2</v>
      </c>
      <c r="C8">
        <v>0.27967718136319603</v>
      </c>
    </row>
    <row r="9" spans="1:3" x14ac:dyDescent="0.25">
      <c r="A9" t="s">
        <v>10</v>
      </c>
      <c r="B9">
        <v>8.517991461679203E-2</v>
      </c>
      <c r="C9">
        <v>0.2791492374388081</v>
      </c>
    </row>
    <row r="10" spans="1:3" x14ac:dyDescent="0.25">
      <c r="A10" t="s">
        <v>11</v>
      </c>
      <c r="B10">
        <v>8.0707460866029687E-2</v>
      </c>
      <c r="C10">
        <v>0.2723853274803692</v>
      </c>
    </row>
    <row r="11" spans="1:3" x14ac:dyDescent="0.25">
      <c r="A11" t="s">
        <v>12</v>
      </c>
      <c r="B11">
        <v>8.5993088026021555E-2</v>
      </c>
      <c r="C11">
        <v>0.28035384220261811</v>
      </c>
    </row>
    <row r="12" spans="1:3" x14ac:dyDescent="0.25">
      <c r="A12" t="s">
        <v>13</v>
      </c>
      <c r="B12">
        <v>7.2829843464118721E-2</v>
      </c>
      <c r="C12">
        <v>0.25985699406618001</v>
      </c>
    </row>
    <row r="13" spans="1:3" x14ac:dyDescent="0.25">
      <c r="A13" t="s">
        <v>14</v>
      </c>
      <c r="B13">
        <v>8.4671681236023588E-2</v>
      </c>
      <c r="C13">
        <v>0.27839250642337482</v>
      </c>
    </row>
    <row r="14" spans="1:3" x14ac:dyDescent="0.25">
      <c r="A14" t="s">
        <v>15</v>
      </c>
      <c r="B14">
        <v>0.18931693433624719</v>
      </c>
      <c r="C14">
        <v>0.39176017243943051</v>
      </c>
    </row>
    <row r="15" spans="1:3" x14ac:dyDescent="0.25">
      <c r="A15" t="s">
        <v>16</v>
      </c>
      <c r="B15">
        <v>0.120908721284814</v>
      </c>
      <c r="C15">
        <v>0.32602116864106412</v>
      </c>
    </row>
    <row r="16" spans="1:3" x14ac:dyDescent="0.25">
      <c r="A16" t="s">
        <v>17</v>
      </c>
      <c r="B16">
        <v>0.1230433014840415</v>
      </c>
      <c r="C16">
        <v>0.32848690604641878</v>
      </c>
    </row>
    <row r="17" spans="1:3" x14ac:dyDescent="0.25">
      <c r="A17" t="s">
        <v>18</v>
      </c>
      <c r="B17">
        <v>0.120908721284814</v>
      </c>
      <c r="C17">
        <v>0.32602116864106412</v>
      </c>
    </row>
    <row r="18" spans="1:3" x14ac:dyDescent="0.25">
      <c r="A18" t="s">
        <v>19</v>
      </c>
      <c r="B18">
        <v>0.1170969709290506</v>
      </c>
      <c r="C18">
        <v>0.32153579945053029</v>
      </c>
    </row>
    <row r="19" spans="1:3" x14ac:dyDescent="0.25">
      <c r="A19" t="s">
        <v>20</v>
      </c>
      <c r="B19">
        <v>0.1804736735108762</v>
      </c>
      <c r="C19">
        <v>0.3845814954991541</v>
      </c>
    </row>
    <row r="20" spans="1:3" x14ac:dyDescent="0.25">
      <c r="A20" t="s">
        <v>21</v>
      </c>
      <c r="B20">
        <v>0.1482516771701565</v>
      </c>
      <c r="C20">
        <v>0.35534928927238929</v>
      </c>
    </row>
    <row r="21" spans="1:3" x14ac:dyDescent="0.25">
      <c r="A21" t="s">
        <v>22</v>
      </c>
      <c r="B21">
        <v>3.0951412888798539E-2</v>
      </c>
      <c r="C21">
        <v>0.17318609334754809</v>
      </c>
    </row>
    <row r="22" spans="1:3" x14ac:dyDescent="0.25">
      <c r="A22" t="s">
        <v>23</v>
      </c>
      <c r="B22">
        <v>3.4407399878023992E-2</v>
      </c>
      <c r="C22">
        <v>0.18227323092450451</v>
      </c>
    </row>
    <row r="23" spans="1:3" x14ac:dyDescent="0.25">
      <c r="A23" t="s">
        <v>24</v>
      </c>
      <c r="B23">
        <v>3.0443179508030091E-2</v>
      </c>
      <c r="C23">
        <v>0.17180335366188851</v>
      </c>
    </row>
    <row r="24" spans="1:3" x14ac:dyDescent="0.25">
      <c r="A24" t="s">
        <v>25</v>
      </c>
      <c r="B24">
        <v>3.0392356169953241E-2</v>
      </c>
      <c r="C24">
        <v>0.17166438435619641</v>
      </c>
    </row>
    <row r="25" spans="1:3" x14ac:dyDescent="0.25">
      <c r="A25" t="s">
        <v>26</v>
      </c>
      <c r="B25">
        <v>2.7546249237649929E-2</v>
      </c>
      <c r="C25">
        <v>0.16366873064390519</v>
      </c>
    </row>
    <row r="26" spans="1:3" x14ac:dyDescent="0.25">
      <c r="A26" t="s">
        <v>27</v>
      </c>
      <c r="B26">
        <v>3.5169749949176661E-2</v>
      </c>
      <c r="C26">
        <v>0.18420868230810691</v>
      </c>
    </row>
    <row r="27" spans="1:3" x14ac:dyDescent="0.25">
      <c r="A27" t="s">
        <v>28</v>
      </c>
      <c r="B27">
        <v>4.3098190689164463E-2</v>
      </c>
      <c r="C27">
        <v>0.20307815404047011</v>
      </c>
    </row>
    <row r="28" spans="1:3" x14ac:dyDescent="0.25">
      <c r="A28" t="s">
        <v>29</v>
      </c>
      <c r="B28">
        <v>4.9857694653384833E-2</v>
      </c>
      <c r="C28">
        <v>0.21765087855838</v>
      </c>
    </row>
    <row r="29" spans="1:3" x14ac:dyDescent="0.25">
      <c r="A29" t="s">
        <v>30</v>
      </c>
      <c r="B29">
        <v>4.2285017279934937E-2</v>
      </c>
      <c r="C29">
        <v>0.20123865084414211</v>
      </c>
    </row>
    <row r="30" spans="1:3" x14ac:dyDescent="0.25">
      <c r="A30" t="s">
        <v>31</v>
      </c>
      <c r="B30">
        <v>3.8473266924171579E-2</v>
      </c>
      <c r="C30">
        <v>0.19233583820066669</v>
      </c>
    </row>
    <row r="31" spans="1:3" x14ac:dyDescent="0.25">
      <c r="A31" t="s">
        <v>32</v>
      </c>
      <c r="B31">
        <v>3.7507623500711518E-2</v>
      </c>
      <c r="C31">
        <v>0.19000210967260439</v>
      </c>
    </row>
    <row r="32" spans="1:3" x14ac:dyDescent="0.25">
      <c r="A32" t="s">
        <v>33</v>
      </c>
      <c r="B32">
        <v>3.7101036796096769E-2</v>
      </c>
      <c r="C32">
        <v>0.1890093909432847</v>
      </c>
    </row>
    <row r="33" spans="1:3" x14ac:dyDescent="0.25">
      <c r="A33" t="s">
        <v>34</v>
      </c>
      <c r="B33">
        <v>4.0455377109168529E-2</v>
      </c>
      <c r="C33">
        <v>0.19702471817547029</v>
      </c>
    </row>
    <row r="34" spans="1:3" x14ac:dyDescent="0.25">
      <c r="A34" t="s">
        <v>35</v>
      </c>
      <c r="B34">
        <v>4.4927830859930878E-2</v>
      </c>
      <c r="C34">
        <v>0.20714565135226071</v>
      </c>
    </row>
    <row r="35" spans="1:3" x14ac:dyDescent="0.25">
      <c r="A35" t="s">
        <v>36</v>
      </c>
      <c r="B35">
        <v>4.3250660703394998E-2</v>
      </c>
      <c r="C35">
        <v>0.20342084714235861</v>
      </c>
    </row>
    <row r="36" spans="1:3" x14ac:dyDescent="0.25">
      <c r="A36" t="s">
        <v>37</v>
      </c>
      <c r="B36">
        <v>5.092498475299858E-2</v>
      </c>
      <c r="C36">
        <v>0.21984456027135499</v>
      </c>
    </row>
    <row r="37" spans="1:3" x14ac:dyDescent="0.25">
      <c r="A37" t="s">
        <v>38</v>
      </c>
      <c r="B37">
        <v>5.0111811343769061E-2</v>
      </c>
      <c r="C37">
        <v>0.21817565791722859</v>
      </c>
    </row>
    <row r="38" spans="1:3" x14ac:dyDescent="0.25">
      <c r="A38" t="s">
        <v>39</v>
      </c>
      <c r="B38">
        <v>5.2398861557227082E-2</v>
      </c>
      <c r="C38">
        <v>0.22283002684722189</v>
      </c>
    </row>
    <row r="39" spans="1:3" x14ac:dyDescent="0.25">
      <c r="A39" t="s">
        <v>40</v>
      </c>
      <c r="B39">
        <v>4.9349461272616392E-2</v>
      </c>
      <c r="C39">
        <v>0.2165966111108826</v>
      </c>
    </row>
    <row r="40" spans="1:3" x14ac:dyDescent="0.25">
      <c r="A40" t="s">
        <v>41</v>
      </c>
      <c r="B40">
        <v>5.9107542183370602E-2</v>
      </c>
      <c r="C40">
        <v>0.23582586931974131</v>
      </c>
    </row>
    <row r="41" spans="1:3" x14ac:dyDescent="0.25">
      <c r="A41" t="s">
        <v>42</v>
      </c>
      <c r="B41">
        <v>5.1077454767229108E-2</v>
      </c>
      <c r="C41">
        <v>0.2201557366541485</v>
      </c>
    </row>
    <row r="42" spans="1:3" x14ac:dyDescent="0.25">
      <c r="A42" t="s">
        <v>43</v>
      </c>
      <c r="B42">
        <v>4.411465745070136E-2</v>
      </c>
      <c r="C42">
        <v>0.20534983430406911</v>
      </c>
    </row>
    <row r="43" spans="1:3" x14ac:dyDescent="0.25">
      <c r="A43" t="s">
        <v>44</v>
      </c>
      <c r="B43">
        <v>4.1624313884935961E-2</v>
      </c>
      <c r="C43">
        <v>0.19972914253694751</v>
      </c>
    </row>
    <row r="44" spans="1:3" x14ac:dyDescent="0.25">
      <c r="A44" t="s">
        <v>45</v>
      </c>
      <c r="B44">
        <v>3.5423866639560889E-2</v>
      </c>
      <c r="C44">
        <v>0.18484863080873359</v>
      </c>
    </row>
    <row r="45" spans="1:3" x14ac:dyDescent="0.25">
      <c r="A45" t="s">
        <v>46</v>
      </c>
      <c r="B45">
        <v>5.1484041471843871E-2</v>
      </c>
      <c r="C45">
        <v>0.22098288382942549</v>
      </c>
    </row>
    <row r="46" spans="1:3" x14ac:dyDescent="0.25">
      <c r="A46" t="s">
        <v>47</v>
      </c>
      <c r="B46">
        <v>5.7430372026834719E-3</v>
      </c>
      <c r="C46">
        <v>7.556490406512846E-2</v>
      </c>
    </row>
    <row r="47" spans="1:3" x14ac:dyDescent="0.25">
      <c r="A47" t="s">
        <v>48</v>
      </c>
      <c r="B47">
        <v>3.608457003455987E-3</v>
      </c>
      <c r="C47">
        <v>5.9961954950703493E-2</v>
      </c>
    </row>
    <row r="48" spans="1:3" x14ac:dyDescent="0.25">
      <c r="A48" t="s">
        <v>49</v>
      </c>
      <c r="B48">
        <v>3.0494002846106929E-3</v>
      </c>
      <c r="C48">
        <v>5.5137114927378182E-2</v>
      </c>
    </row>
    <row r="49" spans="1:3" x14ac:dyDescent="0.25">
      <c r="A49" t="s">
        <v>50</v>
      </c>
      <c r="B49">
        <v>2.439520227688555E-2</v>
      </c>
      <c r="C49">
        <v>0.15427273376314879</v>
      </c>
    </row>
    <row r="50" spans="1:3" x14ac:dyDescent="0.25">
      <c r="A50" t="s">
        <v>51</v>
      </c>
      <c r="B50">
        <v>4.9298637934539541E-3</v>
      </c>
      <c r="C50">
        <v>7.0039704714054477E-2</v>
      </c>
    </row>
    <row r="51" spans="1:3" x14ac:dyDescent="0.25">
      <c r="A51" t="s">
        <v>52</v>
      </c>
      <c r="B51">
        <v>2.0532628583045331E-2</v>
      </c>
      <c r="C51">
        <v>0.14181339762700859</v>
      </c>
    </row>
    <row r="52" spans="1:3" x14ac:dyDescent="0.25">
      <c r="A52" t="s">
        <v>53</v>
      </c>
      <c r="B52">
        <v>7.3693840211425084E-3</v>
      </c>
      <c r="C52">
        <v>8.552821873680895E-2</v>
      </c>
    </row>
    <row r="53" spans="1:3" x14ac:dyDescent="0.25">
      <c r="A53" t="s">
        <v>54</v>
      </c>
      <c r="B53">
        <v>2.5411669038422438E-4</v>
      </c>
      <c r="C53">
        <v>1.5939012362498891E-2</v>
      </c>
    </row>
    <row r="54" spans="1:3" x14ac:dyDescent="0.25">
      <c r="A54" t="s">
        <v>55</v>
      </c>
      <c r="B54">
        <v>0.37756657857288067</v>
      </c>
      <c r="C54">
        <v>0.48477835896175209</v>
      </c>
    </row>
    <row r="55" spans="1:3" x14ac:dyDescent="0.25">
      <c r="A55" t="s">
        <v>56</v>
      </c>
      <c r="B55">
        <v>1.595852815612929E-2</v>
      </c>
      <c r="C55">
        <v>0.12531501719753829</v>
      </c>
    </row>
    <row r="56" spans="1:3" x14ac:dyDescent="0.25">
      <c r="A56" t="s">
        <v>57</v>
      </c>
      <c r="B56">
        <v>2.510672900996137E-2</v>
      </c>
      <c r="C56">
        <v>0.1564492926426379</v>
      </c>
    </row>
    <row r="57" spans="1:3" x14ac:dyDescent="0.25">
      <c r="A57" t="s">
        <v>58</v>
      </c>
      <c r="B57">
        <v>3.9235616995324248E-2</v>
      </c>
      <c r="C57">
        <v>0.1941550497780587</v>
      </c>
    </row>
    <row r="58" spans="1:3" x14ac:dyDescent="0.25">
      <c r="A58" t="s">
        <v>59</v>
      </c>
      <c r="B58">
        <v>7.0695263264891242E-2</v>
      </c>
      <c r="C58">
        <v>0.25631512444020732</v>
      </c>
    </row>
    <row r="59" spans="1:3" x14ac:dyDescent="0.25">
      <c r="A59" t="s">
        <v>60</v>
      </c>
      <c r="B59">
        <v>5.6922138646066274E-3</v>
      </c>
      <c r="C59">
        <v>7.5231725793884374E-2</v>
      </c>
    </row>
    <row r="60" spans="1:3" x14ac:dyDescent="0.25">
      <c r="A60" t="s">
        <v>61</v>
      </c>
      <c r="B60">
        <v>2.4395202276885548E-3</v>
      </c>
      <c r="C60">
        <v>4.9331216980196761E-2</v>
      </c>
    </row>
    <row r="61" spans="1:3" x14ac:dyDescent="0.25">
      <c r="A61" t="s">
        <v>62</v>
      </c>
      <c r="B61">
        <v>3.2018702988412281E-3</v>
      </c>
      <c r="C61">
        <v>5.6494409682999847E-2</v>
      </c>
    </row>
    <row r="62" spans="1:3" x14ac:dyDescent="0.25">
      <c r="A62" t="s">
        <v>63</v>
      </c>
      <c r="B62">
        <v>1.2705834519211221E-3</v>
      </c>
      <c r="C62">
        <v>3.562259212371871E-2</v>
      </c>
    </row>
    <row r="63" spans="1:3" x14ac:dyDescent="0.25">
      <c r="A63" t="s">
        <v>64</v>
      </c>
      <c r="B63">
        <v>0.20059971538930679</v>
      </c>
      <c r="C63">
        <v>0.40044908487226683</v>
      </c>
    </row>
    <row r="64" spans="1:3" x14ac:dyDescent="0.25">
      <c r="A64" t="s">
        <v>65</v>
      </c>
      <c r="B64">
        <v>2.5564139052652979E-2</v>
      </c>
      <c r="C64">
        <v>0.1578309660591026</v>
      </c>
    </row>
    <row r="65" spans="1:3" x14ac:dyDescent="0.25">
      <c r="A65" t="s">
        <v>66</v>
      </c>
      <c r="B65">
        <v>4.9298637934539542E-2</v>
      </c>
      <c r="C65">
        <v>0.21649083637036171</v>
      </c>
    </row>
    <row r="66" spans="1:3" x14ac:dyDescent="0.25">
      <c r="A66" t="s">
        <v>67</v>
      </c>
      <c r="B66">
        <v>2.947753608457004E-3</v>
      </c>
      <c r="C66">
        <v>5.4213138233465429E-2</v>
      </c>
    </row>
    <row r="67" spans="1:3" x14ac:dyDescent="0.25">
      <c r="A67" t="s">
        <v>68</v>
      </c>
      <c r="B67">
        <v>5.6464728603374668E-2</v>
      </c>
      <c r="C67">
        <v>0.2308169470102269</v>
      </c>
    </row>
    <row r="68" spans="1:3" x14ac:dyDescent="0.25">
      <c r="A68" t="s">
        <v>69</v>
      </c>
      <c r="B68">
        <v>2.5919902419190891E-3</v>
      </c>
      <c r="C68">
        <v>5.0845568425428027E-2</v>
      </c>
    </row>
    <row r="69" spans="1:3" x14ac:dyDescent="0.25">
      <c r="A69" t="s">
        <v>70</v>
      </c>
      <c r="B69">
        <v>2.5411669038422438E-4</v>
      </c>
      <c r="C69">
        <v>1.5939012362498891E-2</v>
      </c>
    </row>
    <row r="70" spans="1:3" x14ac:dyDescent="0.25">
      <c r="A70" t="s">
        <v>71</v>
      </c>
      <c r="B70">
        <v>9.1482008538320799E-4</v>
      </c>
      <c r="C70">
        <v>3.0232154894988681E-2</v>
      </c>
    </row>
    <row r="71" spans="1:3" x14ac:dyDescent="0.25">
      <c r="A71" t="s">
        <v>72</v>
      </c>
      <c r="B71">
        <v>1.829640170766416E-3</v>
      </c>
      <c r="C71">
        <v>4.2735144642459477E-2</v>
      </c>
    </row>
    <row r="72" spans="1:3" x14ac:dyDescent="0.25">
      <c r="A72" t="s">
        <v>73</v>
      </c>
      <c r="B72">
        <v>4.8180524496848953E-2</v>
      </c>
      <c r="C72">
        <v>0.21414752288097449</v>
      </c>
    </row>
    <row r="73" spans="1:3" x14ac:dyDescent="0.25">
      <c r="A73" t="s">
        <v>74</v>
      </c>
      <c r="B73">
        <v>1.118113437690588E-3</v>
      </c>
      <c r="C73">
        <v>3.3419504185894837E-2</v>
      </c>
    </row>
    <row r="74" spans="1:3" x14ac:dyDescent="0.25">
      <c r="A74" t="s">
        <v>75</v>
      </c>
      <c r="B74">
        <v>1.016466761536898E-4</v>
      </c>
      <c r="C74">
        <v>1.008148521334613E-2</v>
      </c>
    </row>
    <row r="75" spans="1:3" x14ac:dyDescent="0.25">
      <c r="A75" t="s">
        <v>76</v>
      </c>
      <c r="B75">
        <v>1.118113437690588E-3</v>
      </c>
      <c r="C75">
        <v>3.3419504185894837E-2</v>
      </c>
    </row>
    <row r="76" spans="1:3" x14ac:dyDescent="0.25">
      <c r="A76" t="s">
        <v>77</v>
      </c>
      <c r="B76">
        <v>6.6070339499898351E-4</v>
      </c>
      <c r="C76">
        <v>2.5695658505335499E-2</v>
      </c>
    </row>
    <row r="77" spans="1:3" x14ac:dyDescent="0.25">
      <c r="A77" t="s">
        <v>78</v>
      </c>
      <c r="B77">
        <v>1.016466761536898E-4</v>
      </c>
      <c r="C77">
        <v>1.008148521334613E-2</v>
      </c>
    </row>
    <row r="78" spans="1:3" x14ac:dyDescent="0.25">
      <c r="A78" t="s">
        <v>79</v>
      </c>
      <c r="B78">
        <v>7.6235007115267334E-4</v>
      </c>
      <c r="C78">
        <v>2.7600161114053071E-2</v>
      </c>
    </row>
    <row r="79" spans="1:3" x14ac:dyDescent="0.25">
      <c r="A79" t="s">
        <v>80</v>
      </c>
      <c r="B79">
        <v>1.321406789997967E-3</v>
      </c>
      <c r="C79">
        <v>3.6327134129921598E-2</v>
      </c>
    </row>
    <row r="80" spans="1:3" x14ac:dyDescent="0.25">
      <c r="A80" t="s">
        <v>81</v>
      </c>
      <c r="B80">
        <v>1.697499491766619E-2</v>
      </c>
      <c r="C80">
        <v>0.12917756951271139</v>
      </c>
    </row>
    <row r="81" spans="1:3" x14ac:dyDescent="0.25">
      <c r="A81" t="s">
        <v>82</v>
      </c>
      <c r="B81">
        <v>2.7952835942264692E-3</v>
      </c>
      <c r="C81">
        <v>5.2796495942953617E-2</v>
      </c>
    </row>
    <row r="82" spans="1:3" x14ac:dyDescent="0.25">
      <c r="A82" t="s">
        <v>83</v>
      </c>
      <c r="B82">
        <v>6.6070339499898351E-4</v>
      </c>
      <c r="C82">
        <v>2.5695658505335499E-2</v>
      </c>
    </row>
    <row r="83" spans="1:3" x14ac:dyDescent="0.25">
      <c r="A83" t="s">
        <v>84</v>
      </c>
      <c r="B83">
        <v>3.5576336653791421E-3</v>
      </c>
      <c r="C83">
        <v>5.9539708666419437E-2</v>
      </c>
    </row>
    <row r="84" spans="1:3" x14ac:dyDescent="0.25">
      <c r="A84" t="s">
        <v>85</v>
      </c>
      <c r="B84">
        <v>1.7279934946127259E-3</v>
      </c>
      <c r="C84">
        <v>4.1533210002301792E-2</v>
      </c>
    </row>
    <row r="85" spans="1:3" x14ac:dyDescent="0.25">
      <c r="A85" t="s">
        <v>86</v>
      </c>
      <c r="B85">
        <v>6.6070339499898351E-4</v>
      </c>
      <c r="C85">
        <v>2.5695658505335499E-2</v>
      </c>
    </row>
    <row r="86" spans="1:3" x14ac:dyDescent="0.25">
      <c r="A86" t="s">
        <v>87</v>
      </c>
      <c r="B86">
        <v>4.3708070746086604E-3</v>
      </c>
      <c r="C86">
        <v>6.5967439848194892E-2</v>
      </c>
    </row>
    <row r="87" spans="1:3" x14ac:dyDescent="0.25">
      <c r="A87" t="s">
        <v>88</v>
      </c>
      <c r="B87">
        <v>5.0823338076844878E-5</v>
      </c>
      <c r="C87">
        <v>7.1288677267257261E-3</v>
      </c>
    </row>
    <row r="88" spans="1:3" x14ac:dyDescent="0.25">
      <c r="A88" t="s">
        <v>89</v>
      </c>
      <c r="B88">
        <v>6.6070339499898351E-4</v>
      </c>
      <c r="C88">
        <v>2.5695658505335499E-2</v>
      </c>
    </row>
    <row r="89" spans="1:3" x14ac:dyDescent="0.25">
      <c r="A89" t="s">
        <v>90</v>
      </c>
      <c r="B89">
        <v>1.5247001423053469E-3</v>
      </c>
      <c r="C89">
        <v>3.901762975606541E-2</v>
      </c>
    </row>
    <row r="90" spans="1:3" x14ac:dyDescent="0.25">
      <c r="A90" t="s">
        <v>91</v>
      </c>
      <c r="B90">
        <v>1.0164667615368979E-3</v>
      </c>
      <c r="C90">
        <v>3.186586821129448E-2</v>
      </c>
    </row>
    <row r="91" spans="1:3" x14ac:dyDescent="0.25">
      <c r="A91" t="s">
        <v>92</v>
      </c>
      <c r="B91">
        <v>2.998576946533848E-3</v>
      </c>
      <c r="C91">
        <v>5.4677101997358667E-2</v>
      </c>
    </row>
    <row r="92" spans="1:3" x14ac:dyDescent="0.25">
      <c r="A92" t="s">
        <v>93</v>
      </c>
      <c r="B92">
        <v>1.473876804228502E-3</v>
      </c>
      <c r="C92">
        <v>3.8362800880468298E-2</v>
      </c>
    </row>
    <row r="93" spans="1:3" x14ac:dyDescent="0.25">
      <c r="A93" t="s">
        <v>94</v>
      </c>
      <c r="B93">
        <v>3.0494002846106929E-4</v>
      </c>
      <c r="C93">
        <v>1.7459869416467912E-2</v>
      </c>
    </row>
    <row r="94" spans="1:3" x14ac:dyDescent="0.25">
      <c r="A94" t="s">
        <v>95</v>
      </c>
      <c r="B94">
        <v>2.5411669038422438E-4</v>
      </c>
      <c r="C94">
        <v>1.5939012362498891E-2</v>
      </c>
    </row>
    <row r="95" spans="1:3" x14ac:dyDescent="0.25">
      <c r="A95" t="s">
        <v>96</v>
      </c>
      <c r="B95">
        <v>3.659280341532832E-3</v>
      </c>
      <c r="C95">
        <v>6.0381205759034849E-2</v>
      </c>
    </row>
    <row r="96" spans="1:3" x14ac:dyDescent="0.25">
      <c r="A96" t="s">
        <v>97</v>
      </c>
      <c r="B96">
        <v>5.0823338076844878E-5</v>
      </c>
      <c r="C96">
        <v>7.1288677267257261E-3</v>
      </c>
    </row>
    <row r="97" spans="1:3" x14ac:dyDescent="0.25">
      <c r="A97" t="s">
        <v>98</v>
      </c>
      <c r="B97">
        <v>1.219760113844277E-3</v>
      </c>
      <c r="C97">
        <v>3.4903757664597537E-2</v>
      </c>
    </row>
    <row r="98" spans="1:3" x14ac:dyDescent="0.25">
      <c r="A98" t="s">
        <v>99</v>
      </c>
      <c r="B98">
        <v>1.982110184996951E-3</v>
      </c>
      <c r="C98">
        <v>4.4476751502458917E-2</v>
      </c>
    </row>
    <row r="99" spans="1:3" x14ac:dyDescent="0.25">
      <c r="A99" t="s">
        <v>100</v>
      </c>
      <c r="B99">
        <v>4.57410042691604E-4</v>
      </c>
      <c r="C99">
        <v>2.1382254762874021E-2</v>
      </c>
    </row>
    <row r="100" spans="1:3" x14ac:dyDescent="0.25">
      <c r="A100" t="s">
        <v>101</v>
      </c>
      <c r="B100">
        <v>1.168936775767432E-3</v>
      </c>
      <c r="C100">
        <v>3.4169728746094703E-2</v>
      </c>
    </row>
    <row r="101" spans="1:3" x14ac:dyDescent="0.25">
      <c r="A101" t="s">
        <v>102</v>
      </c>
      <c r="B101">
        <v>4.2132547265704409E-2</v>
      </c>
      <c r="C101">
        <v>0.20089150237530601</v>
      </c>
    </row>
    <row r="102" spans="1:3" x14ac:dyDescent="0.25">
      <c r="A102" t="s">
        <v>103</v>
      </c>
      <c r="B102">
        <v>2.5411669038422438E-4</v>
      </c>
      <c r="C102">
        <v>1.5939012362498891E-2</v>
      </c>
    </row>
    <row r="103" spans="1:3" x14ac:dyDescent="0.25">
      <c r="A103" t="s">
        <v>104</v>
      </c>
      <c r="B103">
        <v>1.7584874974588331E-2</v>
      </c>
      <c r="C103">
        <v>0.13143685612002601</v>
      </c>
    </row>
    <row r="104" spans="1:3" x14ac:dyDescent="0.25">
      <c r="A104" t="s">
        <v>105</v>
      </c>
      <c r="B104">
        <v>0.1904350477739378</v>
      </c>
      <c r="C104">
        <v>0.39264429239870002</v>
      </c>
    </row>
    <row r="105" spans="1:3" x14ac:dyDescent="0.25">
      <c r="A105" t="s">
        <v>106</v>
      </c>
      <c r="B105">
        <v>2.378532221996341E-2</v>
      </c>
      <c r="C105">
        <v>0.15237972524865609</v>
      </c>
    </row>
    <row r="106" spans="1:3" x14ac:dyDescent="0.25">
      <c r="A106" t="s">
        <v>107</v>
      </c>
      <c r="B106">
        <v>3.5576336653791421E-4</v>
      </c>
      <c r="C106">
        <v>1.885833499980695E-2</v>
      </c>
    </row>
    <row r="107" spans="1:3" x14ac:dyDescent="0.25">
      <c r="A107" t="s">
        <v>108</v>
      </c>
      <c r="B107">
        <v>4.57410042691604E-4</v>
      </c>
      <c r="C107">
        <v>2.1382254762874031E-2</v>
      </c>
    </row>
    <row r="108" spans="1:3" x14ac:dyDescent="0.25">
      <c r="A108" t="s">
        <v>109</v>
      </c>
      <c r="B108">
        <v>1.524700142305347E-4</v>
      </c>
      <c r="C108">
        <v>1.2346933511009741E-2</v>
      </c>
    </row>
    <row r="109" spans="1:3" x14ac:dyDescent="0.25">
      <c r="A109" t="s">
        <v>110</v>
      </c>
      <c r="B109">
        <v>5.5397438503760931E-3</v>
      </c>
      <c r="C109">
        <v>7.4223009157863659E-2</v>
      </c>
    </row>
    <row r="110" spans="1:3" x14ac:dyDescent="0.25">
      <c r="A110" t="s">
        <v>111</v>
      </c>
      <c r="B110">
        <v>3.7609270176865218E-3</v>
      </c>
      <c r="C110">
        <v>6.1210966710665157E-2</v>
      </c>
    </row>
    <row r="111" spans="1:3" x14ac:dyDescent="0.25">
      <c r="A111" t="s">
        <v>112</v>
      </c>
      <c r="B111">
        <v>5.0823338076844878E-5</v>
      </c>
      <c r="C111">
        <v>7.1288677267257261E-3</v>
      </c>
    </row>
    <row r="112" spans="1:3" x14ac:dyDescent="0.25">
      <c r="A112" t="s">
        <v>113</v>
      </c>
      <c r="B112">
        <v>4.5741004269160401E-3</v>
      </c>
      <c r="C112">
        <v>6.7477240846084738E-2</v>
      </c>
    </row>
    <row r="113" spans="1:3" x14ac:dyDescent="0.25">
      <c r="A113" t="s">
        <v>114</v>
      </c>
      <c r="B113">
        <v>2.5411669038422438E-4</v>
      </c>
      <c r="C113">
        <v>1.5939012362498891E-2</v>
      </c>
    </row>
    <row r="114" spans="1:3" x14ac:dyDescent="0.25">
      <c r="A114" t="s">
        <v>115</v>
      </c>
      <c r="B114">
        <v>3.2018702988412281E-3</v>
      </c>
      <c r="C114">
        <v>5.6494409682999847E-2</v>
      </c>
    </row>
    <row r="115" spans="1:3" x14ac:dyDescent="0.25">
      <c r="A115" t="s">
        <v>116</v>
      </c>
      <c r="B115">
        <v>6.098800569221387E-4</v>
      </c>
      <c r="C115">
        <v>2.4688217903249061E-2</v>
      </c>
    </row>
    <row r="116" spans="1:3" x14ac:dyDescent="0.25">
      <c r="A116" t="s">
        <v>117</v>
      </c>
      <c r="B116">
        <v>1.8804635088432609E-3</v>
      </c>
      <c r="C116">
        <v>4.3323519776619829E-2</v>
      </c>
    </row>
    <row r="117" spans="1:3" x14ac:dyDescent="0.25">
      <c r="A117" t="s">
        <v>118</v>
      </c>
      <c r="B117">
        <v>1.4230534661516571E-3</v>
      </c>
      <c r="C117">
        <v>3.7696530145149038E-2</v>
      </c>
    </row>
    <row r="118" spans="1:3" x14ac:dyDescent="0.25">
      <c r="A118" t="s">
        <v>119</v>
      </c>
      <c r="B118">
        <v>0</v>
      </c>
      <c r="C118">
        <v>1</v>
      </c>
    </row>
    <row r="119" spans="1:3" x14ac:dyDescent="0.25">
      <c r="A119" t="s">
        <v>120</v>
      </c>
      <c r="B119">
        <v>2.4903435657653988E-3</v>
      </c>
      <c r="C119">
        <v>4.9841165262159058E-2</v>
      </c>
    </row>
    <row r="120" spans="1:3" x14ac:dyDescent="0.25">
      <c r="A120" t="s">
        <v>121</v>
      </c>
      <c r="B120">
        <v>3.0494002846106929E-4</v>
      </c>
      <c r="C120">
        <v>1.7459869416467912E-2</v>
      </c>
    </row>
    <row r="121" spans="1:3" x14ac:dyDescent="0.25">
      <c r="A121" t="s">
        <v>122</v>
      </c>
      <c r="B121">
        <v>3.303516974994918E-3</v>
      </c>
      <c r="C121">
        <v>5.7381214265566367E-2</v>
      </c>
    </row>
    <row r="122" spans="1:3" x14ac:dyDescent="0.25">
      <c r="A122" t="s">
        <v>123</v>
      </c>
      <c r="B122">
        <v>1.8804635088432609E-3</v>
      </c>
      <c r="C122">
        <v>4.3323519776619829E-2</v>
      </c>
    </row>
    <row r="123" spans="1:3" x14ac:dyDescent="0.25">
      <c r="A123" t="s">
        <v>124</v>
      </c>
      <c r="B123">
        <v>0.23322829843464121</v>
      </c>
      <c r="C123">
        <v>0.42288634317499912</v>
      </c>
    </row>
    <row r="124" spans="1:3" x14ac:dyDescent="0.25">
      <c r="A124" t="s">
        <v>125</v>
      </c>
      <c r="B124">
        <v>3.0494002846106929E-4</v>
      </c>
      <c r="C124">
        <v>1.7459869416467912E-2</v>
      </c>
    </row>
    <row r="125" spans="1:3" x14ac:dyDescent="0.25">
      <c r="A125" t="s">
        <v>126</v>
      </c>
      <c r="B125">
        <v>2.1345801992274848E-3</v>
      </c>
      <c r="C125">
        <v>4.6152180518373692E-2</v>
      </c>
    </row>
    <row r="126" spans="1:3" x14ac:dyDescent="0.25">
      <c r="A126" t="s">
        <v>127</v>
      </c>
      <c r="B126">
        <v>8.8432608253710097E-3</v>
      </c>
      <c r="C126">
        <v>9.3621886134308732E-2</v>
      </c>
    </row>
    <row r="127" spans="1:3" x14ac:dyDescent="0.25">
      <c r="A127" t="s">
        <v>128</v>
      </c>
      <c r="B127">
        <v>7.1152673307582842E-4</v>
      </c>
      <c r="C127">
        <v>2.666496695636331E-2</v>
      </c>
    </row>
    <row r="128" spans="1:3" x14ac:dyDescent="0.25">
      <c r="A128" t="s">
        <v>129</v>
      </c>
      <c r="B128">
        <v>2.7444602561496239E-3</v>
      </c>
      <c r="C128">
        <v>5.2315659166754652E-2</v>
      </c>
    </row>
    <row r="129" spans="1:3" x14ac:dyDescent="0.25">
      <c r="A129" t="s">
        <v>130</v>
      </c>
      <c r="B129">
        <v>6.6070339499898351E-4</v>
      </c>
      <c r="C129">
        <v>2.5695658505335499E-2</v>
      </c>
    </row>
    <row r="130" spans="1:3" x14ac:dyDescent="0.25">
      <c r="A130" t="s">
        <v>131</v>
      </c>
      <c r="B130">
        <v>1.321406789997967E-3</v>
      </c>
      <c r="C130">
        <v>3.6327134129921598E-2</v>
      </c>
    </row>
    <row r="131" spans="1:3" x14ac:dyDescent="0.25">
      <c r="A131" t="s">
        <v>132</v>
      </c>
      <c r="B131">
        <v>6.6070339499898351E-4</v>
      </c>
      <c r="C131">
        <v>2.5695658505335499E-2</v>
      </c>
    </row>
    <row r="132" spans="1:3" x14ac:dyDescent="0.25">
      <c r="A132" t="s">
        <v>133</v>
      </c>
      <c r="B132">
        <v>9.0973775157552356E-3</v>
      </c>
      <c r="C132">
        <v>9.49453276264349E-2</v>
      </c>
    </row>
    <row r="133" spans="1:3" x14ac:dyDescent="0.25">
      <c r="A133" t="s">
        <v>134</v>
      </c>
      <c r="B133">
        <v>4.0658670461475908E-4</v>
      </c>
      <c r="C133">
        <v>2.015989563133673E-2</v>
      </c>
    </row>
    <row r="134" spans="1:3" x14ac:dyDescent="0.25">
      <c r="A134" t="s">
        <v>135</v>
      </c>
      <c r="B134">
        <v>8.1317340922951815E-4</v>
      </c>
      <c r="C134">
        <v>2.8504598896249018E-2</v>
      </c>
    </row>
    <row r="135" spans="1:3" x14ac:dyDescent="0.25">
      <c r="A135" t="s">
        <v>136</v>
      </c>
      <c r="B135">
        <v>2.1345801992274848E-3</v>
      </c>
      <c r="C135">
        <v>4.6152180518373692E-2</v>
      </c>
    </row>
    <row r="136" spans="1:3" x14ac:dyDescent="0.25">
      <c r="A136" t="s">
        <v>137</v>
      </c>
      <c r="B136">
        <v>1.016466761536898E-4</v>
      </c>
      <c r="C136">
        <v>1.008148521334613E-2</v>
      </c>
    </row>
    <row r="137" spans="1:3" x14ac:dyDescent="0.25">
      <c r="A137" t="s">
        <v>138</v>
      </c>
      <c r="B137">
        <v>2.0329335230737951E-4</v>
      </c>
      <c r="C137">
        <v>1.42566484182043E-2</v>
      </c>
    </row>
    <row r="138" spans="1:3" x14ac:dyDescent="0.25">
      <c r="A138" t="s">
        <v>139</v>
      </c>
      <c r="B138">
        <v>3.1002236226875379E-3</v>
      </c>
      <c r="C138">
        <v>5.5593275098494307E-2</v>
      </c>
    </row>
    <row r="139" spans="1:3" x14ac:dyDescent="0.25">
      <c r="A139" t="s">
        <v>140</v>
      </c>
      <c r="B139">
        <v>5.0823338076844878E-5</v>
      </c>
      <c r="C139">
        <v>7.1288677267257261E-3</v>
      </c>
    </row>
    <row r="140" spans="1:3" x14ac:dyDescent="0.25">
      <c r="A140" t="s">
        <v>141</v>
      </c>
      <c r="B140">
        <v>5.0823338076844878E-5</v>
      </c>
      <c r="C140">
        <v>7.1288677267257261E-3</v>
      </c>
    </row>
    <row r="141" spans="1:3" x14ac:dyDescent="0.25">
      <c r="A141" t="s">
        <v>142</v>
      </c>
      <c r="B141">
        <v>2.2565562106119132E-2</v>
      </c>
      <c r="C141">
        <v>0.14851382936600219</v>
      </c>
    </row>
    <row r="142" spans="1:3" x14ac:dyDescent="0.25">
      <c r="A142" t="s">
        <v>143</v>
      </c>
      <c r="B142">
        <v>1.118113437690588E-3</v>
      </c>
      <c r="C142">
        <v>3.3419504185894837E-2</v>
      </c>
    </row>
    <row r="143" spans="1:3" x14ac:dyDescent="0.25">
      <c r="A143" t="s">
        <v>144</v>
      </c>
      <c r="B143">
        <v>1.2705834519211221E-3</v>
      </c>
      <c r="C143">
        <v>3.562259212371871E-2</v>
      </c>
    </row>
    <row r="144" spans="1:3" x14ac:dyDescent="0.25">
      <c r="A144" t="s">
        <v>145</v>
      </c>
      <c r="B144">
        <v>2.0329335230737951E-4</v>
      </c>
      <c r="C144">
        <v>1.42566484182043E-2</v>
      </c>
    </row>
    <row r="145" spans="1:3" x14ac:dyDescent="0.25">
      <c r="A145" t="s">
        <v>146</v>
      </c>
      <c r="B145">
        <v>5.8446838788371617E-3</v>
      </c>
      <c r="C145">
        <v>7.6226790232789041E-2</v>
      </c>
    </row>
    <row r="146" spans="1:3" x14ac:dyDescent="0.25">
      <c r="A146" t="s">
        <v>147</v>
      </c>
      <c r="B146">
        <v>1.8550518398048381E-2</v>
      </c>
      <c r="C146">
        <v>0.1349310811681729</v>
      </c>
    </row>
    <row r="147" spans="1:3" x14ac:dyDescent="0.25">
      <c r="A147" t="s">
        <v>148</v>
      </c>
      <c r="B147">
        <v>4.1166903842244362E-3</v>
      </c>
      <c r="C147">
        <v>6.4029237419360771E-2</v>
      </c>
    </row>
    <row r="148" spans="1:3" x14ac:dyDescent="0.25">
      <c r="A148" t="s">
        <v>149</v>
      </c>
      <c r="B148">
        <v>2.4191908924578169E-2</v>
      </c>
      <c r="C148">
        <v>0.15364459140224579</v>
      </c>
    </row>
    <row r="149" spans="1:3" x14ac:dyDescent="0.25">
      <c r="A149" t="s">
        <v>150</v>
      </c>
      <c r="B149">
        <v>2.5411669038422438E-4</v>
      </c>
      <c r="C149">
        <v>1.5939012362498891E-2</v>
      </c>
    </row>
    <row r="150" spans="1:3" x14ac:dyDescent="0.25">
      <c r="A150" t="s">
        <v>151</v>
      </c>
      <c r="B150">
        <v>1.677170156535881E-3</v>
      </c>
      <c r="C150">
        <v>4.0918910747989222E-2</v>
      </c>
    </row>
    <row r="151" spans="1:3" x14ac:dyDescent="0.25">
      <c r="A151" t="s">
        <v>152</v>
      </c>
      <c r="B151">
        <v>4.319983736531815E-3</v>
      </c>
      <c r="C151">
        <v>6.5584460637013051E-2</v>
      </c>
    </row>
    <row r="152" spans="1:3" x14ac:dyDescent="0.25">
      <c r="A152" t="s">
        <v>153</v>
      </c>
      <c r="B152">
        <v>1.118113437690588E-3</v>
      </c>
      <c r="C152">
        <v>3.3419504185894837E-2</v>
      </c>
    </row>
    <row r="153" spans="1:3" x14ac:dyDescent="0.25">
      <c r="A153" t="s">
        <v>154</v>
      </c>
      <c r="B153">
        <v>2.6936369180727789E-3</v>
      </c>
      <c r="C153">
        <v>5.1830311963429021E-2</v>
      </c>
    </row>
    <row r="154" spans="1:3" x14ac:dyDescent="0.25">
      <c r="A154" t="s">
        <v>155</v>
      </c>
      <c r="B154">
        <v>2.5411669038422438E-4</v>
      </c>
      <c r="C154">
        <v>1.5939012362498891E-2</v>
      </c>
    </row>
    <row r="155" spans="1:3" x14ac:dyDescent="0.25">
      <c r="A155" t="s">
        <v>156</v>
      </c>
      <c r="B155">
        <v>1.057125431998374E-2</v>
      </c>
      <c r="C155">
        <v>0.102271711152625</v>
      </c>
    </row>
    <row r="156" spans="1:3" x14ac:dyDescent="0.25">
      <c r="A156" t="s">
        <v>157</v>
      </c>
      <c r="B156">
        <v>4.4216304126855049E-3</v>
      </c>
      <c r="C156">
        <v>6.6348169508880353E-2</v>
      </c>
    </row>
    <row r="157" spans="1:3" x14ac:dyDescent="0.25">
      <c r="A157" t="s">
        <v>158</v>
      </c>
      <c r="B157">
        <v>1.677170156535881E-3</v>
      </c>
      <c r="C157">
        <v>4.0918910747989222E-2</v>
      </c>
    </row>
    <row r="158" spans="1:3" x14ac:dyDescent="0.25">
      <c r="A158" t="s">
        <v>159</v>
      </c>
      <c r="B158">
        <v>1.2705834519211221E-3</v>
      </c>
      <c r="C158">
        <v>3.562259212371871E-2</v>
      </c>
    </row>
    <row r="159" spans="1:3" x14ac:dyDescent="0.25">
      <c r="A159" t="s">
        <v>160</v>
      </c>
      <c r="B159">
        <v>4.0658670461475909E-3</v>
      </c>
      <c r="C159">
        <v>6.363439141934682E-2</v>
      </c>
    </row>
    <row r="160" spans="1:3" x14ac:dyDescent="0.25">
      <c r="A160" t="s">
        <v>161</v>
      </c>
      <c r="B160">
        <v>5.0823338076844878E-5</v>
      </c>
      <c r="C160">
        <v>7.1288677267257261E-3</v>
      </c>
    </row>
    <row r="161" spans="1:3" x14ac:dyDescent="0.25">
      <c r="A161" t="s">
        <v>162</v>
      </c>
      <c r="B161">
        <v>1.321406789997967E-3</v>
      </c>
      <c r="C161">
        <v>3.6327134129921598E-2</v>
      </c>
    </row>
    <row r="162" spans="1:3" x14ac:dyDescent="0.25">
      <c r="A162" t="s">
        <v>163</v>
      </c>
      <c r="B162">
        <v>1.7279934946127259E-3</v>
      </c>
      <c r="C162">
        <v>4.1533210002301792E-2</v>
      </c>
    </row>
    <row r="163" spans="1:3" x14ac:dyDescent="0.25">
      <c r="A163" t="s">
        <v>164</v>
      </c>
      <c r="B163">
        <v>9.6564342346005291E-4</v>
      </c>
      <c r="C163">
        <v>3.1059796461644459E-2</v>
      </c>
    </row>
    <row r="164" spans="1:3" x14ac:dyDescent="0.25">
      <c r="A164" t="s">
        <v>165</v>
      </c>
      <c r="B164">
        <v>3.0494002846106929E-4</v>
      </c>
      <c r="C164">
        <v>1.7459869416467912E-2</v>
      </c>
    </row>
    <row r="165" spans="1:3" x14ac:dyDescent="0.25">
      <c r="A165" t="s">
        <v>166</v>
      </c>
      <c r="B165">
        <v>1.016466761536898E-4</v>
      </c>
      <c r="C165">
        <v>1.008148521334613E-2</v>
      </c>
    </row>
    <row r="166" spans="1:3" x14ac:dyDescent="0.25">
      <c r="A166" t="s">
        <v>167</v>
      </c>
      <c r="B166">
        <v>1.016466761536898E-4</v>
      </c>
      <c r="C166">
        <v>1.008148521334613E-2</v>
      </c>
    </row>
    <row r="167" spans="1:3" x14ac:dyDescent="0.25">
      <c r="A167" t="s">
        <v>168</v>
      </c>
      <c r="B167">
        <v>4.57410042691604E-4</v>
      </c>
      <c r="C167">
        <v>2.1382254762874021E-2</v>
      </c>
    </row>
    <row r="168" spans="1:3" x14ac:dyDescent="0.25">
      <c r="A168" t="s">
        <v>169</v>
      </c>
      <c r="B168">
        <v>2.7444602561496239E-3</v>
      </c>
      <c r="C168">
        <v>5.2315659166754652E-2</v>
      </c>
    </row>
    <row r="169" spans="1:3" x14ac:dyDescent="0.25">
      <c r="A169" t="s">
        <v>170</v>
      </c>
      <c r="B169">
        <v>1.168936775767432E-3</v>
      </c>
      <c r="C169">
        <v>3.4169728746094703E-2</v>
      </c>
    </row>
    <row r="170" spans="1:3" x14ac:dyDescent="0.25">
      <c r="A170" t="s">
        <v>171</v>
      </c>
      <c r="B170">
        <v>3.303516974994918E-3</v>
      </c>
      <c r="C170">
        <v>5.7381214265566367E-2</v>
      </c>
    </row>
    <row r="171" spans="1:3" x14ac:dyDescent="0.25">
      <c r="A171" t="s">
        <v>172</v>
      </c>
      <c r="B171">
        <v>1.575523480382192E-3</v>
      </c>
      <c r="C171">
        <v>3.9661583505263082E-2</v>
      </c>
    </row>
    <row r="172" spans="1:3" x14ac:dyDescent="0.25">
      <c r="A172" t="s">
        <v>173</v>
      </c>
      <c r="B172">
        <v>6.098800569221387E-4</v>
      </c>
      <c r="C172">
        <v>2.4688217903249061E-2</v>
      </c>
    </row>
    <row r="173" spans="1:3" x14ac:dyDescent="0.25">
      <c r="A173" t="s">
        <v>174</v>
      </c>
      <c r="B173">
        <v>2.5919902419190891E-3</v>
      </c>
      <c r="C173">
        <v>5.0845568425428027E-2</v>
      </c>
    </row>
    <row r="174" spans="1:3" x14ac:dyDescent="0.25">
      <c r="A174" t="s">
        <v>175</v>
      </c>
      <c r="B174">
        <v>6.098800569221387E-4</v>
      </c>
      <c r="C174">
        <v>2.4688217903249061E-2</v>
      </c>
    </row>
    <row r="175" spans="1:3" x14ac:dyDescent="0.25">
      <c r="A175" t="s">
        <v>176</v>
      </c>
      <c r="B175">
        <v>2.0329335230737951E-4</v>
      </c>
      <c r="C175">
        <v>1.42566484182043E-2</v>
      </c>
    </row>
    <row r="176" spans="1:3" x14ac:dyDescent="0.25">
      <c r="A176" t="s">
        <v>177</v>
      </c>
      <c r="B176">
        <v>1.016466761536898E-4</v>
      </c>
      <c r="C176">
        <v>1.008148521334613E-2</v>
      </c>
    </row>
    <row r="177" spans="1:3" x14ac:dyDescent="0.25">
      <c r="A177" t="s">
        <v>178</v>
      </c>
      <c r="B177">
        <v>3.5576336653791421E-4</v>
      </c>
      <c r="C177">
        <v>1.885833499980695E-2</v>
      </c>
    </row>
    <row r="178" spans="1:3" x14ac:dyDescent="0.25">
      <c r="A178" t="s">
        <v>179</v>
      </c>
      <c r="B178">
        <v>5.0823338076844878E-5</v>
      </c>
      <c r="C178">
        <v>7.1288677267257261E-3</v>
      </c>
    </row>
    <row r="179" spans="1:3" x14ac:dyDescent="0.25">
      <c r="A179" t="s">
        <v>180</v>
      </c>
      <c r="B179">
        <v>1.473876804228502E-3</v>
      </c>
      <c r="C179">
        <v>3.8362800880468298E-2</v>
      </c>
    </row>
    <row r="180" spans="1:3" x14ac:dyDescent="0.25">
      <c r="A180" t="s">
        <v>181</v>
      </c>
      <c r="B180">
        <v>4.3708070746086604E-3</v>
      </c>
      <c r="C180">
        <v>6.5967439848194892E-2</v>
      </c>
    </row>
    <row r="181" spans="1:3" x14ac:dyDescent="0.25">
      <c r="A181" t="s">
        <v>182</v>
      </c>
      <c r="B181">
        <v>6.098800569221387E-4</v>
      </c>
      <c r="C181">
        <v>2.4688217903249061E-2</v>
      </c>
    </row>
    <row r="182" spans="1:3" x14ac:dyDescent="0.25">
      <c r="A182" t="s">
        <v>183</v>
      </c>
      <c r="B182">
        <v>2.8969302703801589E-2</v>
      </c>
      <c r="C182">
        <v>0.167720249834828</v>
      </c>
    </row>
    <row r="183" spans="1:3" x14ac:dyDescent="0.25">
      <c r="A183" t="s">
        <v>184</v>
      </c>
      <c r="B183">
        <v>5.0823338076844878E-5</v>
      </c>
      <c r="C183">
        <v>7.1288677267257261E-3</v>
      </c>
    </row>
    <row r="184" spans="1:3" x14ac:dyDescent="0.25">
      <c r="A184" t="s">
        <v>185</v>
      </c>
      <c r="B184">
        <v>2.7444602561496239E-3</v>
      </c>
      <c r="C184">
        <v>5.2315659166754652E-2</v>
      </c>
    </row>
    <row r="185" spans="1:3" x14ac:dyDescent="0.25">
      <c r="A185" t="s">
        <v>186</v>
      </c>
      <c r="B185">
        <v>1.219760113844277E-3</v>
      </c>
      <c r="C185">
        <v>3.4903757664597537E-2</v>
      </c>
    </row>
    <row r="186" spans="1:3" x14ac:dyDescent="0.25">
      <c r="A186" t="s">
        <v>187</v>
      </c>
      <c r="B186">
        <v>2.0329335230737951E-4</v>
      </c>
      <c r="C186">
        <v>1.42566484182043E-2</v>
      </c>
    </row>
    <row r="187" spans="1:3" x14ac:dyDescent="0.25">
      <c r="A187" t="s">
        <v>188</v>
      </c>
      <c r="B187">
        <v>5.5905671884529378E-4</v>
      </c>
      <c r="C187">
        <v>2.363777008159627E-2</v>
      </c>
    </row>
    <row r="188" spans="1:3" x14ac:dyDescent="0.25">
      <c r="A188" t="s">
        <v>189</v>
      </c>
      <c r="B188">
        <v>2.0329335230737951E-4</v>
      </c>
      <c r="C188">
        <v>1.42566484182043E-2</v>
      </c>
    </row>
    <row r="189" spans="1:3" x14ac:dyDescent="0.25">
      <c r="A189" t="s">
        <v>190</v>
      </c>
      <c r="B189">
        <v>2.5411669038422442E-3</v>
      </c>
      <c r="C189">
        <v>5.034589729669204E-2</v>
      </c>
    </row>
    <row r="190" spans="1:3" x14ac:dyDescent="0.25">
      <c r="A190" t="s">
        <v>191</v>
      </c>
      <c r="B190">
        <v>6.3529172596056109E-3</v>
      </c>
      <c r="C190">
        <v>7.9451606037248976E-2</v>
      </c>
    </row>
    <row r="191" spans="1:3" x14ac:dyDescent="0.25">
      <c r="A191" t="s">
        <v>192</v>
      </c>
      <c r="B191">
        <v>6.6070339499898351E-4</v>
      </c>
      <c r="C191">
        <v>2.5695658505335499E-2</v>
      </c>
    </row>
    <row r="192" spans="1:3" x14ac:dyDescent="0.25">
      <c r="A192" t="s">
        <v>193</v>
      </c>
      <c r="B192">
        <v>1.677170156535881E-3</v>
      </c>
      <c r="C192">
        <v>4.0918910747989222E-2</v>
      </c>
    </row>
    <row r="193" spans="1:3" x14ac:dyDescent="0.25">
      <c r="A193" t="s">
        <v>194</v>
      </c>
      <c r="B193">
        <v>1.697499491766619E-2</v>
      </c>
      <c r="C193">
        <v>0.12917756951271139</v>
      </c>
    </row>
    <row r="194" spans="1:3" x14ac:dyDescent="0.25">
      <c r="A194" t="s">
        <v>195</v>
      </c>
      <c r="B194">
        <v>4.0658670461475908E-4</v>
      </c>
      <c r="C194">
        <v>2.015989563133673E-2</v>
      </c>
    </row>
    <row r="195" spans="1:3" x14ac:dyDescent="0.25">
      <c r="A195" t="s">
        <v>196</v>
      </c>
      <c r="B195">
        <v>2.8969302703801591E-3</v>
      </c>
      <c r="C195">
        <v>5.3745121317089931E-2</v>
      </c>
    </row>
    <row r="196" spans="1:3" x14ac:dyDescent="0.25">
      <c r="A196" t="s">
        <v>197</v>
      </c>
      <c r="B196">
        <v>1.829640170766416E-3</v>
      </c>
      <c r="C196">
        <v>4.2735144642459491E-2</v>
      </c>
    </row>
    <row r="197" spans="1:3" x14ac:dyDescent="0.25">
      <c r="A197" t="s">
        <v>198</v>
      </c>
      <c r="B197">
        <v>4.0658670461475908E-4</v>
      </c>
      <c r="C197">
        <v>2.015989563133673E-2</v>
      </c>
    </row>
    <row r="198" spans="1:3" x14ac:dyDescent="0.25">
      <c r="A198" t="s">
        <v>199</v>
      </c>
      <c r="B198">
        <v>6.0988005692213867E-3</v>
      </c>
      <c r="C198">
        <v>7.7856311246027127E-2</v>
      </c>
    </row>
    <row r="199" spans="1:3" x14ac:dyDescent="0.25">
      <c r="A199" t="s">
        <v>200</v>
      </c>
      <c r="B199">
        <v>3.252693636918073E-3</v>
      </c>
      <c r="C199">
        <v>5.6939561124251963E-2</v>
      </c>
    </row>
    <row r="200" spans="1:3" x14ac:dyDescent="0.25">
      <c r="A200" t="s">
        <v>201</v>
      </c>
      <c r="B200">
        <v>1.153689774344379E-2</v>
      </c>
      <c r="C200">
        <v>0.1067885655578401</v>
      </c>
    </row>
    <row r="201" spans="1:3" x14ac:dyDescent="0.25">
      <c r="A201" t="s">
        <v>202</v>
      </c>
      <c r="B201">
        <v>1.524700142305347E-4</v>
      </c>
      <c r="C201">
        <v>1.2346933511009741E-2</v>
      </c>
    </row>
    <row r="202" spans="1:3" x14ac:dyDescent="0.25">
      <c r="A202" t="s">
        <v>203</v>
      </c>
      <c r="B202">
        <v>1.087619434844481E-2</v>
      </c>
      <c r="C202">
        <v>0.1037203101853232</v>
      </c>
    </row>
    <row r="203" spans="1:3" x14ac:dyDescent="0.25">
      <c r="A203" t="s">
        <v>204</v>
      </c>
      <c r="B203">
        <v>1.016466761536898E-4</v>
      </c>
      <c r="C203">
        <v>1.008148521334613E-2</v>
      </c>
    </row>
    <row r="204" spans="1:3" x14ac:dyDescent="0.25">
      <c r="A204" t="s">
        <v>205</v>
      </c>
      <c r="B204">
        <v>1.168936775767432E-3</v>
      </c>
      <c r="C204">
        <v>3.4169728746094703E-2</v>
      </c>
    </row>
    <row r="205" spans="1:3" x14ac:dyDescent="0.25">
      <c r="A205" t="s">
        <v>206</v>
      </c>
      <c r="B205">
        <v>2.947753608457004E-3</v>
      </c>
      <c r="C205">
        <v>5.4213138233465429E-2</v>
      </c>
    </row>
    <row r="206" spans="1:3" x14ac:dyDescent="0.25">
      <c r="A206" t="s">
        <v>207</v>
      </c>
      <c r="B206">
        <v>2.0329335230737951E-4</v>
      </c>
      <c r="C206">
        <v>1.42566484182043E-2</v>
      </c>
    </row>
    <row r="207" spans="1:3" x14ac:dyDescent="0.25">
      <c r="A207" t="s">
        <v>208</v>
      </c>
      <c r="B207">
        <v>4.0658670461475908E-4</v>
      </c>
      <c r="C207">
        <v>2.015989563133673E-2</v>
      </c>
    </row>
    <row r="208" spans="1:3" x14ac:dyDescent="0.25">
      <c r="A208" t="s">
        <v>209</v>
      </c>
      <c r="B208">
        <v>5.0823338076844878E-5</v>
      </c>
      <c r="C208">
        <v>7.1288677267257261E-3</v>
      </c>
    </row>
    <row r="209" spans="1:3" x14ac:dyDescent="0.25">
      <c r="A209" t="s">
        <v>210</v>
      </c>
      <c r="B209">
        <v>3.5576336653791421E-4</v>
      </c>
      <c r="C209">
        <v>1.885833499980695E-2</v>
      </c>
    </row>
    <row r="210" spans="1:3" x14ac:dyDescent="0.25">
      <c r="A210" t="s">
        <v>211</v>
      </c>
      <c r="B210">
        <v>5.5905671884529378E-4</v>
      </c>
      <c r="C210">
        <v>2.363777008159627E-2</v>
      </c>
    </row>
    <row r="211" spans="1:3" x14ac:dyDescent="0.25">
      <c r="A211" t="s">
        <v>212</v>
      </c>
      <c r="B211">
        <v>1.016466761536898E-4</v>
      </c>
      <c r="C211">
        <v>1.008148521334613E-2</v>
      </c>
    </row>
    <row r="212" spans="1:3" x14ac:dyDescent="0.25">
      <c r="A212" t="s">
        <v>213</v>
      </c>
      <c r="B212">
        <v>1.036796096767636E-2</v>
      </c>
      <c r="C212">
        <v>0.10129396010152381</v>
      </c>
    </row>
    <row r="213" spans="1:3" x14ac:dyDescent="0.25">
      <c r="A213" t="s">
        <v>214</v>
      </c>
      <c r="B213">
        <v>1.321406789997967E-3</v>
      </c>
      <c r="C213">
        <v>3.6327134129921598E-2</v>
      </c>
    </row>
    <row r="214" spans="1:3" x14ac:dyDescent="0.25">
      <c r="A214" t="s">
        <v>215</v>
      </c>
      <c r="B214">
        <v>1.7788168326895711E-3</v>
      </c>
      <c r="C214">
        <v>4.2138493605791263E-2</v>
      </c>
    </row>
    <row r="215" spans="1:3" x14ac:dyDescent="0.25">
      <c r="A215" t="s">
        <v>216</v>
      </c>
      <c r="B215">
        <v>1.4230534661516571E-3</v>
      </c>
      <c r="C215">
        <v>3.7696530145149038E-2</v>
      </c>
    </row>
    <row r="216" spans="1:3" x14ac:dyDescent="0.25">
      <c r="A216" t="s">
        <v>217</v>
      </c>
      <c r="B216">
        <v>7.6235007115267334E-4</v>
      </c>
      <c r="C216">
        <v>2.7600161114053071E-2</v>
      </c>
    </row>
    <row r="217" spans="1:3" x14ac:dyDescent="0.25">
      <c r="A217" t="s">
        <v>218</v>
      </c>
      <c r="B217">
        <v>6.6070339499898351E-4</v>
      </c>
      <c r="C217">
        <v>2.5695658505335499E-2</v>
      </c>
    </row>
    <row r="218" spans="1:3" x14ac:dyDescent="0.25">
      <c r="A218" t="s">
        <v>219</v>
      </c>
      <c r="B218">
        <v>4.7977231144541582E-2</v>
      </c>
      <c r="C218">
        <v>0.21371807699922071</v>
      </c>
    </row>
    <row r="219" spans="1:3" x14ac:dyDescent="0.25">
      <c r="A219" t="s">
        <v>220</v>
      </c>
      <c r="B219">
        <v>1.016466761536898E-4</v>
      </c>
      <c r="C219">
        <v>1.008148521334613E-2</v>
      </c>
    </row>
    <row r="220" spans="1:3" x14ac:dyDescent="0.25">
      <c r="A220" t="s">
        <v>221</v>
      </c>
      <c r="B220">
        <v>3.0494002846106929E-4</v>
      </c>
      <c r="C220">
        <v>1.7459869416467912E-2</v>
      </c>
    </row>
    <row r="221" spans="1:3" x14ac:dyDescent="0.25">
      <c r="A221" t="s">
        <v>222</v>
      </c>
      <c r="B221">
        <v>5.0823338076844878E-5</v>
      </c>
      <c r="C221">
        <v>7.1288677267257261E-3</v>
      </c>
    </row>
    <row r="222" spans="1:3" x14ac:dyDescent="0.25">
      <c r="A222" t="s">
        <v>223</v>
      </c>
      <c r="B222">
        <v>2.5411669038422438E-4</v>
      </c>
      <c r="C222">
        <v>1.5939012362498891E-2</v>
      </c>
    </row>
    <row r="223" spans="1:3" x14ac:dyDescent="0.25">
      <c r="A223" t="s">
        <v>224</v>
      </c>
      <c r="B223">
        <v>2.5411669038422438E-4</v>
      </c>
      <c r="C223">
        <v>1.5939012362498891E-2</v>
      </c>
    </row>
    <row r="224" spans="1:3" x14ac:dyDescent="0.25">
      <c r="A224" t="s">
        <v>225</v>
      </c>
      <c r="B224">
        <v>5.0823338076844886E-4</v>
      </c>
      <c r="C224">
        <v>2.2538302500390791E-2</v>
      </c>
    </row>
    <row r="225" spans="1:3" x14ac:dyDescent="0.25">
      <c r="A225" t="s">
        <v>226</v>
      </c>
      <c r="B225">
        <v>2.28705021345802E-3</v>
      </c>
      <c r="C225">
        <v>4.7768395564213181E-2</v>
      </c>
    </row>
    <row r="226" spans="1:3" x14ac:dyDescent="0.25">
      <c r="A226" t="s">
        <v>227</v>
      </c>
      <c r="B226">
        <v>2.032933523073795E-3</v>
      </c>
      <c r="C226">
        <v>4.5042210251768931E-2</v>
      </c>
    </row>
    <row r="227" spans="1:3" x14ac:dyDescent="0.25">
      <c r="A227" t="s">
        <v>228</v>
      </c>
      <c r="B227">
        <v>9.6564342346005291E-4</v>
      </c>
      <c r="C227">
        <v>3.1059796461644459E-2</v>
      </c>
    </row>
    <row r="228" spans="1:3" x14ac:dyDescent="0.25">
      <c r="A228" t="s">
        <v>229</v>
      </c>
      <c r="B228">
        <v>3.5576336653791421E-4</v>
      </c>
      <c r="C228">
        <v>1.885833499980695E-2</v>
      </c>
    </row>
    <row r="229" spans="1:3" x14ac:dyDescent="0.25">
      <c r="A229" t="s">
        <v>230</v>
      </c>
      <c r="B229">
        <v>1.016466761536898E-4</v>
      </c>
      <c r="C229">
        <v>1.008148521334613E-2</v>
      </c>
    </row>
    <row r="230" spans="1:3" x14ac:dyDescent="0.25">
      <c r="A230" t="s">
        <v>231</v>
      </c>
      <c r="B230">
        <v>1.6263468184590361E-3</v>
      </c>
      <c r="C230">
        <v>4.029518351472202E-2</v>
      </c>
    </row>
    <row r="231" spans="1:3" x14ac:dyDescent="0.25">
      <c r="A231" t="s">
        <v>232</v>
      </c>
      <c r="B231">
        <v>5.0823338076844878E-5</v>
      </c>
      <c r="C231">
        <v>7.1288677267257261E-3</v>
      </c>
    </row>
    <row r="232" spans="1:3" x14ac:dyDescent="0.25">
      <c r="A232" t="s">
        <v>233</v>
      </c>
      <c r="B232">
        <v>1.575523480382192E-3</v>
      </c>
      <c r="C232">
        <v>3.9661583505263082E-2</v>
      </c>
    </row>
    <row r="233" spans="1:3" x14ac:dyDescent="0.25">
      <c r="A233" t="s">
        <v>234</v>
      </c>
      <c r="B233">
        <v>1.3722301280748119E-3</v>
      </c>
      <c r="C233">
        <v>3.7018199747562222E-2</v>
      </c>
    </row>
    <row r="234" spans="1:3" x14ac:dyDescent="0.25">
      <c r="A234" t="s">
        <v>235</v>
      </c>
      <c r="B234">
        <v>6.098800569221387E-4</v>
      </c>
      <c r="C234">
        <v>2.4688217903249061E-2</v>
      </c>
    </row>
    <row r="235" spans="1:3" x14ac:dyDescent="0.25">
      <c r="A235" t="s">
        <v>236</v>
      </c>
      <c r="B235">
        <v>3.252693636918073E-3</v>
      </c>
      <c r="C235">
        <v>5.6939561124251963E-2</v>
      </c>
    </row>
    <row r="236" spans="1:3" x14ac:dyDescent="0.25">
      <c r="A236" t="s">
        <v>237</v>
      </c>
      <c r="B236">
        <v>1.931286846920106E-3</v>
      </c>
      <c r="C236">
        <v>4.3903951735977241E-2</v>
      </c>
    </row>
    <row r="237" spans="1:3" x14ac:dyDescent="0.25">
      <c r="A237" t="s">
        <v>238</v>
      </c>
      <c r="B237">
        <v>4.0658670461475908E-4</v>
      </c>
      <c r="C237">
        <v>2.015989563133673E-2</v>
      </c>
    </row>
    <row r="238" spans="1:3" x14ac:dyDescent="0.25">
      <c r="A238" t="s">
        <v>239</v>
      </c>
      <c r="B238">
        <v>1.473876804228502E-3</v>
      </c>
      <c r="C238">
        <v>3.8362800880468298E-2</v>
      </c>
    </row>
    <row r="239" spans="1:3" x14ac:dyDescent="0.25">
      <c r="A239" t="s">
        <v>240</v>
      </c>
      <c r="B239">
        <v>2.0329335230737951E-4</v>
      </c>
      <c r="C239">
        <v>1.42566484182043E-2</v>
      </c>
    </row>
    <row r="240" spans="1:3" x14ac:dyDescent="0.25">
      <c r="A240" t="s">
        <v>241</v>
      </c>
      <c r="B240">
        <v>5.5905671884529378E-4</v>
      </c>
      <c r="C240">
        <v>2.363777008159627E-2</v>
      </c>
    </row>
    <row r="241" spans="1:3" x14ac:dyDescent="0.25">
      <c r="A241" t="s">
        <v>242</v>
      </c>
      <c r="B241">
        <v>0.34971538930676971</v>
      </c>
      <c r="C241">
        <v>0.47688000145611492</v>
      </c>
    </row>
    <row r="242" spans="1:3" x14ac:dyDescent="0.25">
      <c r="A242" t="s">
        <v>243</v>
      </c>
      <c r="B242">
        <v>0.65028461069323029</v>
      </c>
      <c r="C242">
        <v>0.47688000145611498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241"/>
  <sheetViews>
    <sheetView workbookViewId="0"/>
  </sheetViews>
  <sheetFormatPr baseColWidth="10" defaultColWidth="9.140625" defaultRowHeight="15" x14ac:dyDescent="0.25"/>
  <sheetData>
    <row r="1" spans="1:50" x14ac:dyDescent="0.25">
      <c r="A1">
        <v>0.2546749606530348</v>
      </c>
      <c r="B1">
        <v>-0.55620020351693145</v>
      </c>
      <c r="C1">
        <v>0.49363615447280113</v>
      </c>
      <c r="D1">
        <v>0.63652075877226022</v>
      </c>
      <c r="E1">
        <v>-0.41336377328956558</v>
      </c>
      <c r="F1">
        <v>-0.62039669755099847</v>
      </c>
      <c r="G1">
        <v>-0.2805680013462859</v>
      </c>
      <c r="H1">
        <v>0.5061658247362032</v>
      </c>
      <c r="I1">
        <v>0.15025809945324781</v>
      </c>
      <c r="J1">
        <v>-4.6121297882614827E-2</v>
      </c>
      <c r="K1">
        <v>-0.78633928932627362</v>
      </c>
      <c r="L1">
        <v>-0.32090904415997029</v>
      </c>
      <c r="M1">
        <v>0.41121947259997832</v>
      </c>
      <c r="N1">
        <v>-8.3875963619890498E-2</v>
      </c>
      <c r="O1">
        <v>0.35790475005643929</v>
      </c>
      <c r="P1">
        <v>0.45287790353699381</v>
      </c>
      <c r="Q1">
        <v>-0.55671941119292945</v>
      </c>
      <c r="R1">
        <v>0.25012702243373103</v>
      </c>
      <c r="S1">
        <v>0.63971146373783827</v>
      </c>
      <c r="T1">
        <v>-3.3617185965918173E-2</v>
      </c>
      <c r="U1">
        <v>-0.42004044760686121</v>
      </c>
      <c r="V1">
        <v>-0.79724578301132232</v>
      </c>
      <c r="W1">
        <v>-0.49871678541772307</v>
      </c>
      <c r="X1">
        <v>-0.50938107678724243</v>
      </c>
      <c r="Y1">
        <v>0.33219212189314989</v>
      </c>
      <c r="Z1">
        <v>0.47947182800091798</v>
      </c>
      <c r="AA1">
        <v>-0.28917087617239839</v>
      </c>
      <c r="AB1">
        <v>0.3760707557177369</v>
      </c>
      <c r="AC1">
        <v>0.50520159299509837</v>
      </c>
      <c r="AD1">
        <v>0.40009099124972608</v>
      </c>
      <c r="AE1">
        <v>0.12960422685124071</v>
      </c>
      <c r="AF1">
        <v>-0.36968190729830819</v>
      </c>
      <c r="AG1">
        <v>-1.3999889396944001</v>
      </c>
      <c r="AH1">
        <v>0.62799597000268381</v>
      </c>
      <c r="AI1">
        <v>0.47674887268529781</v>
      </c>
      <c r="AJ1">
        <v>0.93969686937622809</v>
      </c>
      <c r="AK1">
        <v>0.17669189384484391</v>
      </c>
      <c r="AL1">
        <v>-0.54323886992552695</v>
      </c>
      <c r="AM1">
        <v>0.63904296413764161</v>
      </c>
      <c r="AN1">
        <v>0.1215881041371199</v>
      </c>
      <c r="AO1">
        <v>0.66468075063121013</v>
      </c>
      <c r="AP1">
        <v>-0.54498390976307909</v>
      </c>
      <c r="AQ1">
        <v>-0.39094321479422262</v>
      </c>
      <c r="AR1">
        <v>0.85682997748404832</v>
      </c>
      <c r="AS1">
        <v>-0.19115947100403571</v>
      </c>
      <c r="AT1">
        <v>-0.65010027635692602</v>
      </c>
      <c r="AU1">
        <v>-0.83465093643266564</v>
      </c>
      <c r="AV1">
        <v>-0.50227400790939369</v>
      </c>
      <c r="AW1">
        <v>-0.41829523659186402</v>
      </c>
      <c r="AX1">
        <v>5.2237220017883397E-2</v>
      </c>
    </row>
    <row r="2" spans="1:50" x14ac:dyDescent="0.25">
      <c r="A2">
        <v>-4.9701781996886817E-2</v>
      </c>
      <c r="B2">
        <v>0.28716438705242031</v>
      </c>
      <c r="C2">
        <v>0.8128963964857534</v>
      </c>
      <c r="D2">
        <v>-0.2406772427537569</v>
      </c>
      <c r="E2">
        <v>0.57747299646355976</v>
      </c>
      <c r="F2">
        <v>0.2091533706665612</v>
      </c>
      <c r="G2">
        <v>-2.5786131890133741E-2</v>
      </c>
      <c r="H2">
        <v>-0.36402982680928081</v>
      </c>
      <c r="I2">
        <v>0.17304384863757349</v>
      </c>
      <c r="J2">
        <v>0.1872870326459676</v>
      </c>
      <c r="K2">
        <v>0.18352045850106699</v>
      </c>
      <c r="L2">
        <v>0.1531040702566881</v>
      </c>
      <c r="M2">
        <v>-0.39990455475114173</v>
      </c>
      <c r="N2">
        <v>-5.9547914675450939E-2</v>
      </c>
      <c r="O2">
        <v>0.26783956484976612</v>
      </c>
      <c r="P2">
        <v>0.14552612247702121</v>
      </c>
      <c r="Q2">
        <v>-0.62725023763011911</v>
      </c>
      <c r="R2">
        <v>0.39216537145650548</v>
      </c>
      <c r="S2">
        <v>-0.34162478132520829</v>
      </c>
      <c r="T2">
        <v>1.180039380394871</v>
      </c>
      <c r="U2">
        <v>0.92924433201919476</v>
      </c>
      <c r="V2">
        <v>9.3583793147855199E-2</v>
      </c>
      <c r="W2">
        <v>1.1245394286782631</v>
      </c>
      <c r="X2">
        <v>0.2014073539337978</v>
      </c>
      <c r="Y2">
        <v>0.40460745175018309</v>
      </c>
      <c r="Z2">
        <v>0.78653097436428876</v>
      </c>
      <c r="AA2">
        <v>-0.11152678122514351</v>
      </c>
      <c r="AB2">
        <v>0.23536924155866751</v>
      </c>
      <c r="AC2">
        <v>0.21307801302670609</v>
      </c>
      <c r="AD2">
        <v>-0.25187522070223017</v>
      </c>
      <c r="AE2">
        <v>0.86292031968849481</v>
      </c>
      <c r="AF2">
        <v>0.46274693835567288</v>
      </c>
      <c r="AG2">
        <v>-0.95136857669079156</v>
      </c>
      <c r="AH2">
        <v>-1.1929771709392549</v>
      </c>
      <c r="AI2">
        <v>-0.17389022578928159</v>
      </c>
      <c r="AJ2">
        <v>-0.46871777413200499</v>
      </c>
      <c r="AK2">
        <v>-0.54796871930630808</v>
      </c>
      <c r="AL2">
        <v>0.30859795844664117</v>
      </c>
      <c r="AM2">
        <v>6.6079865082550468E-2</v>
      </c>
      <c r="AN2">
        <v>0.1109764657596822</v>
      </c>
      <c r="AO2">
        <v>-0.26072420720593681</v>
      </c>
      <c r="AP2">
        <v>0.36958567849833562</v>
      </c>
      <c r="AQ2">
        <v>-0.1596853138983845</v>
      </c>
      <c r="AR2">
        <v>-0.50410380232057328</v>
      </c>
      <c r="AS2">
        <v>-0.17313197875223091</v>
      </c>
      <c r="AT2">
        <v>-0.1139190138178956</v>
      </c>
      <c r="AU2">
        <v>0.186269981305588</v>
      </c>
      <c r="AV2">
        <v>-0.149297280376745</v>
      </c>
      <c r="AW2">
        <v>0.15103887648755271</v>
      </c>
      <c r="AX2">
        <v>-1.3364631862920211</v>
      </c>
    </row>
    <row r="3" spans="1:50" x14ac:dyDescent="0.25">
      <c r="A3">
        <v>0.12500772350092171</v>
      </c>
      <c r="B3">
        <v>-0.15271638542863081</v>
      </c>
      <c r="C3">
        <v>-0.24831609570533689</v>
      </c>
      <c r="D3">
        <v>-0.3673794353363144</v>
      </c>
      <c r="E3">
        <v>-0.38150788462548069</v>
      </c>
      <c r="F3">
        <v>-4.2495170194834862E-2</v>
      </c>
      <c r="G3">
        <v>0.65486871146469228</v>
      </c>
      <c r="H3">
        <v>0.64076277985579477</v>
      </c>
      <c r="I3">
        <v>-0.32752498747370967</v>
      </c>
      <c r="J3">
        <v>-0.20386214378509471</v>
      </c>
      <c r="K3">
        <v>0.65794801829154503</v>
      </c>
      <c r="L3">
        <v>-1.105118972781163</v>
      </c>
      <c r="M3">
        <v>0.1382220282520267</v>
      </c>
      <c r="N3">
        <v>0.14583817692918369</v>
      </c>
      <c r="O3">
        <v>-8.112036233263771E-2</v>
      </c>
      <c r="P3">
        <v>-1.0041391573530509</v>
      </c>
      <c r="Q3">
        <v>0.2377883191703721</v>
      </c>
      <c r="R3">
        <v>0.22753081895413091</v>
      </c>
      <c r="S3">
        <v>-0.25252002833898862</v>
      </c>
      <c r="T3">
        <v>-9.4062403453883239E-2</v>
      </c>
      <c r="U3">
        <v>-0.52929448655033184</v>
      </c>
      <c r="V3">
        <v>0.26546959994925251</v>
      </c>
      <c r="W3">
        <v>-0.1142056600116822</v>
      </c>
      <c r="X3">
        <v>-3.3931209045377837E-2</v>
      </c>
      <c r="Y3">
        <v>-0.96952984560938194</v>
      </c>
      <c r="Z3">
        <v>-1.6263783681301689</v>
      </c>
      <c r="AA3">
        <v>0.62969050383431624</v>
      </c>
      <c r="AB3">
        <v>0.42827398537269967</v>
      </c>
      <c r="AC3">
        <v>-0.84414427498806732</v>
      </c>
      <c r="AD3">
        <v>3.3334123862571848E-2</v>
      </c>
      <c r="AE3">
        <v>4.8875990938809399E-2</v>
      </c>
      <c r="AF3">
        <v>-0.51185388815763555</v>
      </c>
      <c r="AG3">
        <v>-0.47637553337817518</v>
      </c>
      <c r="AH3">
        <v>-1.8495332166012231</v>
      </c>
      <c r="AI3">
        <v>-1.407540672125614E-2</v>
      </c>
      <c r="AJ3">
        <v>-0.80705388548275803</v>
      </c>
      <c r="AK3">
        <v>0.52452573616863374</v>
      </c>
      <c r="AL3">
        <v>0.2967742477720659</v>
      </c>
      <c r="AM3">
        <v>-0.14048511972448069</v>
      </c>
      <c r="AN3">
        <v>0.24902075710428001</v>
      </c>
      <c r="AO3">
        <v>-0.93775716398197706</v>
      </c>
      <c r="AP3">
        <v>-0.89105948125398193</v>
      </c>
      <c r="AQ3">
        <v>0.65083710239294901</v>
      </c>
      <c r="AR3">
        <v>-0.25598504176194181</v>
      </c>
      <c r="AS3">
        <v>-0.46871908095184428</v>
      </c>
      <c r="AT3">
        <v>0.17557855507876591</v>
      </c>
      <c r="AU3">
        <v>0.45273686100409632</v>
      </c>
      <c r="AV3">
        <v>-0.28362294986675662</v>
      </c>
      <c r="AW3">
        <v>0.57080335011119787</v>
      </c>
      <c r="AX3">
        <v>0.2161350775458652</v>
      </c>
    </row>
    <row r="4" spans="1:50" x14ac:dyDescent="0.25">
      <c r="A4">
        <v>9.7677675110024453E-2</v>
      </c>
      <c r="B4">
        <v>9.8061479327417822E-2</v>
      </c>
      <c r="C4">
        <v>-0.26418793307236299</v>
      </c>
      <c r="D4">
        <v>0.29087298248618548</v>
      </c>
      <c r="E4">
        <v>0.15397122437898261</v>
      </c>
      <c r="F4">
        <v>-0.19626427515666969</v>
      </c>
      <c r="G4">
        <v>-0.60500935404531309</v>
      </c>
      <c r="H4">
        <v>0.38718267535982798</v>
      </c>
      <c r="I4">
        <v>-0.2355596235547158</v>
      </c>
      <c r="J4">
        <v>6.9866044338907779E-2</v>
      </c>
      <c r="K4">
        <v>-0.63577205612618426</v>
      </c>
      <c r="L4">
        <v>0.1027960733992426</v>
      </c>
      <c r="M4">
        <v>-7.2942280265718931E-2</v>
      </c>
      <c r="N4">
        <v>-0.1355671051842425</v>
      </c>
      <c r="O4">
        <v>-0.46222800015040288</v>
      </c>
      <c r="P4">
        <v>-0.43017432406832601</v>
      </c>
      <c r="Q4">
        <v>-0.76593886704407677</v>
      </c>
      <c r="R4">
        <v>-1.3257508777635481</v>
      </c>
      <c r="S4">
        <v>7.0460218808644823E-2</v>
      </c>
      <c r="T4">
        <v>0.12076231036611119</v>
      </c>
      <c r="U4">
        <v>1.320444696855904</v>
      </c>
      <c r="V4">
        <v>-0.1352422074695081</v>
      </c>
      <c r="W4">
        <v>-0.20436824415167379</v>
      </c>
      <c r="X4">
        <v>-9.263288333432481E-3</v>
      </c>
      <c r="Y4">
        <v>-0.93907109936628252</v>
      </c>
      <c r="Z4">
        <v>-0.85922520337667885</v>
      </c>
      <c r="AA4">
        <v>-0.32954795493002798</v>
      </c>
      <c r="AB4">
        <v>-0.37455831578610849</v>
      </c>
      <c r="AC4">
        <v>0.26781847795005848</v>
      </c>
      <c r="AD4">
        <v>-0.85428640792165378</v>
      </c>
      <c r="AE4">
        <v>-0.75479740637015025</v>
      </c>
      <c r="AF4">
        <v>-1.6186117126938211</v>
      </c>
      <c r="AG4">
        <v>0.57065494332607491</v>
      </c>
      <c r="AH4">
        <v>4.6256361601361089E-2</v>
      </c>
      <c r="AI4">
        <v>9.7041841955781097E-2</v>
      </c>
      <c r="AJ4">
        <v>-0.1324950688200941</v>
      </c>
      <c r="AK4">
        <v>0.39597936544457868</v>
      </c>
      <c r="AL4">
        <v>-4.4688671904423397E-2</v>
      </c>
      <c r="AM4">
        <v>0.36719519457970451</v>
      </c>
      <c r="AN4">
        <v>-6.5842842041101746E-2</v>
      </c>
      <c r="AO4">
        <v>-0.54171393648483046</v>
      </c>
      <c r="AP4">
        <v>9.1885619649243175E-2</v>
      </c>
      <c r="AQ4">
        <v>-0.36138178124837522</v>
      </c>
      <c r="AR4">
        <v>-0.67534787332329826</v>
      </c>
      <c r="AS4">
        <v>0.26759341836518918</v>
      </c>
      <c r="AT4">
        <v>0.1874057358607075</v>
      </c>
      <c r="AU4">
        <v>-1.153218422568093</v>
      </c>
      <c r="AV4">
        <v>0.60032050656154989</v>
      </c>
      <c r="AW4">
        <v>-0.67134046015196369</v>
      </c>
      <c r="AX4">
        <v>0.61337501446380327</v>
      </c>
    </row>
    <row r="5" spans="1:50" x14ac:dyDescent="0.25">
      <c r="A5">
        <v>-1.296077465552474E-2</v>
      </c>
      <c r="B5">
        <v>-1.038942613805403</v>
      </c>
      <c r="C5">
        <v>-0.94218041548472597</v>
      </c>
      <c r="D5">
        <v>-0.1136597998488162</v>
      </c>
      <c r="E5">
        <v>-0.2025011540017832</v>
      </c>
      <c r="F5">
        <v>-0.1181640030058735</v>
      </c>
      <c r="G5">
        <v>-0.1067654235707019</v>
      </c>
      <c r="H5">
        <v>-9.5515875292897193E-2</v>
      </c>
      <c r="I5">
        <v>-0.84176058354667604</v>
      </c>
      <c r="J5">
        <v>-0.79371086214459829</v>
      </c>
      <c r="K5">
        <v>-0.12940935116775079</v>
      </c>
      <c r="L5">
        <v>1.3731012826990709E-2</v>
      </c>
      <c r="M5">
        <v>0.1142272949399793</v>
      </c>
      <c r="N5">
        <v>-0.30069884448203349</v>
      </c>
      <c r="O5">
        <v>-0.38644512045370022</v>
      </c>
      <c r="P5">
        <v>0.2179138524214545</v>
      </c>
      <c r="Q5">
        <v>7.4621700913601055E-2</v>
      </c>
      <c r="R5">
        <v>-7.2340332355522355E-2</v>
      </c>
      <c r="S5">
        <v>0.12976814561932021</v>
      </c>
      <c r="T5">
        <v>0.1931317314191334</v>
      </c>
      <c r="U5">
        <v>9.0665144507967605E-3</v>
      </c>
      <c r="V5">
        <v>-1.111187983800644</v>
      </c>
      <c r="W5">
        <v>-0.40600531741219642</v>
      </c>
      <c r="X5">
        <v>0.6972265678461429</v>
      </c>
      <c r="Y5">
        <v>-0.20324199466459039</v>
      </c>
      <c r="Z5">
        <v>-0.36708104431659422</v>
      </c>
      <c r="AA5">
        <v>0.69494319968993745</v>
      </c>
      <c r="AB5">
        <v>-0.31576323667554512</v>
      </c>
      <c r="AC5">
        <v>-3.1654439125725013E-2</v>
      </c>
      <c r="AD5">
        <v>-0.89935205929398654</v>
      </c>
      <c r="AE5">
        <v>0.41656684850433889</v>
      </c>
      <c r="AF5">
        <v>-0.29343739442135353</v>
      </c>
      <c r="AG5">
        <v>-0.12109966403888719</v>
      </c>
      <c r="AH5">
        <v>0.60254453373623151</v>
      </c>
      <c r="AI5">
        <v>-0.35460919534204088</v>
      </c>
      <c r="AJ5">
        <v>0.17407395432677381</v>
      </c>
      <c r="AK5">
        <v>-0.1720799945561006</v>
      </c>
      <c r="AL5">
        <v>-0.18149526468225879</v>
      </c>
      <c r="AM5">
        <v>-0.77343199057509116</v>
      </c>
      <c r="AN5">
        <v>-0.71887799255269103</v>
      </c>
      <c r="AO5">
        <v>-0.53482395959773288</v>
      </c>
      <c r="AP5">
        <v>1.186143653381587</v>
      </c>
      <c r="AQ5">
        <v>0.26383199039741512</v>
      </c>
      <c r="AR5">
        <v>9.0811267447786521E-3</v>
      </c>
      <c r="AS5">
        <v>-0.42463739461249661</v>
      </c>
      <c r="AT5">
        <v>0.28092923370817208</v>
      </c>
      <c r="AU5">
        <v>-0.18891379415190621</v>
      </c>
      <c r="AV5">
        <v>0.76634632375679856</v>
      </c>
      <c r="AW5">
        <v>0.29798347007789061</v>
      </c>
      <c r="AX5">
        <v>0.35758329566741232</v>
      </c>
    </row>
    <row r="6" spans="1:50" x14ac:dyDescent="0.25">
      <c r="A6">
        <v>-0.47184198949131673</v>
      </c>
      <c r="B6">
        <v>0.47843228705081697</v>
      </c>
      <c r="C6">
        <v>0.71803245223457701</v>
      </c>
      <c r="D6">
        <v>0.34220998435469169</v>
      </c>
      <c r="E6">
        <v>0.76730700549859898</v>
      </c>
      <c r="F6">
        <v>-0.1276592353650351</v>
      </c>
      <c r="G6">
        <v>-0.22591251229361919</v>
      </c>
      <c r="H6">
        <v>-0.1474121547214704</v>
      </c>
      <c r="I6">
        <v>0.51690847387140137</v>
      </c>
      <c r="J6">
        <v>-0.38961009474982339</v>
      </c>
      <c r="K6">
        <v>0.406386153349034</v>
      </c>
      <c r="L6">
        <v>0.55275419906683898</v>
      </c>
      <c r="M6">
        <v>-0.79055617031765624</v>
      </c>
      <c r="N6">
        <v>0.96842200870609885</v>
      </c>
      <c r="O6">
        <v>0.33130341890743548</v>
      </c>
      <c r="P6">
        <v>2.754423841080287E-2</v>
      </c>
      <c r="Q6">
        <v>0.2289376826804565</v>
      </c>
      <c r="R6">
        <v>-0.25665479022872661</v>
      </c>
      <c r="S6">
        <v>-0.58504865092612779</v>
      </c>
      <c r="T6">
        <v>-0.52051811821510208</v>
      </c>
      <c r="U6">
        <v>-0.33305619856426733</v>
      </c>
      <c r="V6">
        <v>0.26562752884627461</v>
      </c>
      <c r="W6">
        <v>0.53393561017132374</v>
      </c>
      <c r="X6">
        <v>-0.26279639307379998</v>
      </c>
      <c r="Y6">
        <v>0.1357966254746307</v>
      </c>
      <c r="Z6">
        <v>0.67118478380386348</v>
      </c>
      <c r="AA6">
        <v>-1.0973366851473499E-2</v>
      </c>
      <c r="AB6">
        <v>-0.35680393758426271</v>
      </c>
      <c r="AC6">
        <v>0.17593123870109309</v>
      </c>
      <c r="AD6">
        <v>0.33387773131454368</v>
      </c>
      <c r="AE6">
        <v>-6.0681096582287312E-2</v>
      </c>
      <c r="AF6">
        <v>0.73992968596478337</v>
      </c>
      <c r="AG6">
        <v>0.12233942259646979</v>
      </c>
      <c r="AH6">
        <v>-0.14179046716013721</v>
      </c>
      <c r="AI6">
        <v>-3.1923153855531079E-2</v>
      </c>
      <c r="AJ6">
        <v>-0.1631269462197221</v>
      </c>
      <c r="AK6">
        <v>-0.41802833093617059</v>
      </c>
      <c r="AL6">
        <v>-0.34887108581896481</v>
      </c>
      <c r="AM6">
        <v>-0.1801678128253047</v>
      </c>
      <c r="AN6">
        <v>0.12850291978430231</v>
      </c>
      <c r="AO6">
        <v>0.93077476935244852</v>
      </c>
      <c r="AP6">
        <v>-2.8691583055847489E-2</v>
      </c>
      <c r="AQ6">
        <v>-0.1180610830523041</v>
      </c>
      <c r="AR6">
        <v>1.069250641791158E-2</v>
      </c>
      <c r="AS6">
        <v>0.21757115224009291</v>
      </c>
      <c r="AT6">
        <v>9.6343994601084809E-2</v>
      </c>
      <c r="AU6">
        <v>1.01808867120961</v>
      </c>
      <c r="AV6">
        <v>-3.0943705806750911E-2</v>
      </c>
      <c r="AW6">
        <v>-0.33844311002956179</v>
      </c>
      <c r="AX6">
        <v>-7.9298714716355967E-2</v>
      </c>
    </row>
    <row r="7" spans="1:50" x14ac:dyDescent="0.25">
      <c r="A7">
        <v>-9.7335077077107396E-2</v>
      </c>
      <c r="B7">
        <v>0.38252380852238671</v>
      </c>
      <c r="C7">
        <v>0.43471705189475779</v>
      </c>
      <c r="D7">
        <v>0.43024985986426051</v>
      </c>
      <c r="E7">
        <v>-0.58181818037981714</v>
      </c>
      <c r="F7">
        <v>0.92242646824271157</v>
      </c>
      <c r="G7">
        <v>4.5602562691902167E-2</v>
      </c>
      <c r="H7">
        <v>-1.171159436841996</v>
      </c>
      <c r="I7">
        <v>0.1325073976271664</v>
      </c>
      <c r="J7">
        <v>-0.92780544912823182</v>
      </c>
      <c r="K7">
        <v>-1.056791917136654</v>
      </c>
      <c r="L7">
        <v>0.20330742097520549</v>
      </c>
      <c r="M7">
        <v>-7.2371049294182796E-2</v>
      </c>
      <c r="N7">
        <v>-0.13406679296984339</v>
      </c>
      <c r="O7">
        <v>0.42923516007241919</v>
      </c>
      <c r="P7">
        <v>0.4080495687488816</v>
      </c>
      <c r="Q7">
        <v>0.20697866461607189</v>
      </c>
      <c r="R7">
        <v>0.54214616845315167</v>
      </c>
      <c r="S7">
        <v>0.1783577917835133</v>
      </c>
      <c r="T7">
        <v>0.41160055357854058</v>
      </c>
      <c r="U7">
        <v>-0.9859909361052267</v>
      </c>
      <c r="V7">
        <v>-0.15572249892157489</v>
      </c>
      <c r="W7">
        <v>-0.38637613929015963</v>
      </c>
      <c r="X7">
        <v>0.29916152430884529</v>
      </c>
      <c r="Y7">
        <v>1.077717843403341</v>
      </c>
      <c r="Z7">
        <v>0.29390542511114193</v>
      </c>
      <c r="AA7">
        <v>8.2452538907293945E-4</v>
      </c>
      <c r="AB7">
        <v>0.33682669266977111</v>
      </c>
      <c r="AC7">
        <v>-0.1072693053091873</v>
      </c>
      <c r="AD7">
        <v>0.31348527920928843</v>
      </c>
      <c r="AE7">
        <v>0.10950974210244629</v>
      </c>
      <c r="AF7">
        <v>0.21543106678823559</v>
      </c>
      <c r="AG7">
        <v>-9.3714236794806005E-2</v>
      </c>
      <c r="AH7">
        <v>0.76133578217201425</v>
      </c>
      <c r="AI7">
        <v>-0.24247541669142719</v>
      </c>
      <c r="AJ7">
        <v>0.20086264240755519</v>
      </c>
      <c r="AK7">
        <v>0.22231505818446551</v>
      </c>
      <c r="AL7">
        <v>0.30705649204929247</v>
      </c>
      <c r="AM7">
        <v>0.5947548034785437</v>
      </c>
      <c r="AN7">
        <v>-2.4421134903869199E-2</v>
      </c>
      <c r="AO7">
        <v>0.1485530727057468</v>
      </c>
      <c r="AP7">
        <v>0.17676728810765011</v>
      </c>
      <c r="AQ7">
        <v>1.393921682353347E-2</v>
      </c>
      <c r="AR7">
        <v>0.54741415722128639</v>
      </c>
      <c r="AS7">
        <v>-0.80454594392942924</v>
      </c>
      <c r="AT7">
        <v>0.251260846959793</v>
      </c>
      <c r="AU7">
        <v>-0.13718842800772171</v>
      </c>
      <c r="AV7">
        <v>-0.82852215300120957</v>
      </c>
      <c r="AW7">
        <v>-0.37137470393086869</v>
      </c>
      <c r="AX7">
        <v>0.41720783638420811</v>
      </c>
    </row>
    <row r="8" spans="1:50" x14ac:dyDescent="0.25">
      <c r="A8">
        <v>0.3559687243273601</v>
      </c>
      <c r="B8">
        <v>3.9026245463253298E-2</v>
      </c>
      <c r="C8">
        <v>-0.70064302053355154</v>
      </c>
      <c r="D8">
        <v>-1.537410355076412</v>
      </c>
      <c r="E8">
        <v>-0.36636847513428777</v>
      </c>
      <c r="F8">
        <v>0.16696701902907779</v>
      </c>
      <c r="G8">
        <v>-0.84373979483559514</v>
      </c>
      <c r="H8">
        <v>0.66055472914469415</v>
      </c>
      <c r="I8">
        <v>0.38880528833372058</v>
      </c>
      <c r="J8">
        <v>-1.536199226032591E-2</v>
      </c>
      <c r="K8">
        <v>-1.308112249116667</v>
      </c>
      <c r="L8">
        <v>0.53183840226204748</v>
      </c>
      <c r="M8">
        <v>6.883826360245425E-2</v>
      </c>
      <c r="N8">
        <v>8.7811900918696589E-2</v>
      </c>
      <c r="O8">
        <v>0.6974104375881427</v>
      </c>
      <c r="P8">
        <v>4.2266778102287211E-2</v>
      </c>
      <c r="Q8">
        <v>0.87512696565286885</v>
      </c>
      <c r="R8">
        <v>0.48406827440614031</v>
      </c>
      <c r="S8">
        <v>0.31129441477471931</v>
      </c>
      <c r="T8">
        <v>-0.2127372587330312</v>
      </c>
      <c r="U8">
        <v>-1.3002524382659961E-2</v>
      </c>
      <c r="V8">
        <v>-0.38996669779088827</v>
      </c>
      <c r="W8">
        <v>-1.259014187512385</v>
      </c>
      <c r="X8">
        <v>-0.15449100418459541</v>
      </c>
      <c r="Y8">
        <v>-0.40788835050127198</v>
      </c>
      <c r="Z8">
        <v>2.1009585979291059E-2</v>
      </c>
      <c r="AA8">
        <v>0.48325904743652631</v>
      </c>
      <c r="AB8">
        <v>-0.78017388238786123</v>
      </c>
      <c r="AC8">
        <v>-0.64348241764006586</v>
      </c>
      <c r="AD8">
        <v>0.82287043274592964</v>
      </c>
      <c r="AE8">
        <v>-0.80426269712121246</v>
      </c>
      <c r="AF8">
        <v>0.44992477230602917</v>
      </c>
      <c r="AG8">
        <v>1.0115890727002299</v>
      </c>
      <c r="AH8">
        <v>0.30324816541243499</v>
      </c>
      <c r="AI8">
        <v>0.78561289172399296</v>
      </c>
      <c r="AJ8">
        <v>0.1514243209560743</v>
      </c>
      <c r="AK8">
        <v>-0.38417299579761399</v>
      </c>
      <c r="AL8">
        <v>0.3416033214285219</v>
      </c>
      <c r="AM8">
        <v>0.4008160501647679</v>
      </c>
      <c r="AN8">
        <v>0.68915196794176925</v>
      </c>
      <c r="AO8">
        <v>0.32000817404027337</v>
      </c>
      <c r="AP8">
        <v>0.1227921427218006</v>
      </c>
      <c r="AQ8">
        <v>0.1202209984121478</v>
      </c>
      <c r="AR8">
        <v>0.33014197714990112</v>
      </c>
      <c r="AS8">
        <v>0.4306114869112051</v>
      </c>
      <c r="AT8">
        <v>-0.55212060448214328</v>
      </c>
      <c r="AU8">
        <v>-0.34435089112722328</v>
      </c>
      <c r="AV8">
        <v>-0.18304426748793179</v>
      </c>
      <c r="AW8">
        <v>0.25029053497014292</v>
      </c>
      <c r="AX8">
        <v>0.48179625314118563</v>
      </c>
    </row>
    <row r="9" spans="1:50" x14ac:dyDescent="0.25">
      <c r="A9">
        <v>0.40339016928777038</v>
      </c>
      <c r="B9">
        <v>8.3461792246283632E-4</v>
      </c>
      <c r="C9">
        <v>0.64859623841855207</v>
      </c>
      <c r="D9">
        <v>0.37716775603285468</v>
      </c>
      <c r="E9">
        <v>-0.1766995754265511</v>
      </c>
      <c r="F9">
        <v>0.1627823376152763</v>
      </c>
      <c r="G9">
        <v>-5.0032472921564243E-2</v>
      </c>
      <c r="H9">
        <v>2.0473824050644511E-2</v>
      </c>
      <c r="I9">
        <v>-3.9085479117085258E-2</v>
      </c>
      <c r="J9">
        <v>-0.63615945748301639</v>
      </c>
      <c r="K9">
        <v>-0.49283325650798721</v>
      </c>
      <c r="L9">
        <v>0.15245444599586599</v>
      </c>
      <c r="M9">
        <v>0.65466802054709416</v>
      </c>
      <c r="N9">
        <v>-0.3079102513336574</v>
      </c>
      <c r="O9">
        <v>-0.28515931117052917</v>
      </c>
      <c r="P9">
        <v>0.39827736941762337</v>
      </c>
      <c r="Q9">
        <v>-2.5486084886037149E-2</v>
      </c>
      <c r="R9">
        <v>-8.3976564474286225E-2</v>
      </c>
      <c r="S9">
        <v>-0.48278648985995481</v>
      </c>
      <c r="T9">
        <v>-0.45274202049354623</v>
      </c>
      <c r="U9">
        <v>-6.1534286366825577E-2</v>
      </c>
      <c r="V9">
        <v>0.35726704789579838</v>
      </c>
      <c r="W9">
        <v>3.4110398865472402E-2</v>
      </c>
      <c r="X9">
        <v>3.313140489744644E-2</v>
      </c>
      <c r="Y9">
        <v>0.5721440348638428</v>
      </c>
      <c r="Z9">
        <v>0.65043239949504961</v>
      </c>
      <c r="AA9">
        <v>-0.3960415065912728</v>
      </c>
      <c r="AB9">
        <v>0.1146866044106227</v>
      </c>
      <c r="AC9">
        <v>0.87999780283713369</v>
      </c>
      <c r="AD9">
        <v>-0.20311482914738621</v>
      </c>
      <c r="AE9">
        <v>-0.67740567696198228</v>
      </c>
      <c r="AF9">
        <v>-0.49221088713400502</v>
      </c>
      <c r="AG9">
        <v>0.27038818611341692</v>
      </c>
      <c r="AH9">
        <v>0.38822567579388551</v>
      </c>
      <c r="AI9">
        <v>-0.53305662282079991</v>
      </c>
      <c r="AJ9">
        <v>0.77248076029298651</v>
      </c>
      <c r="AK9">
        <v>-4.9162822053435758E-2</v>
      </c>
      <c r="AL9">
        <v>-0.73769944923733466</v>
      </c>
      <c r="AM9">
        <v>-7.3163321988405791E-2</v>
      </c>
      <c r="AN9">
        <v>-1.682313555941704</v>
      </c>
      <c r="AO9">
        <v>0.10088410094788031</v>
      </c>
      <c r="AP9">
        <v>0.2359426567038235</v>
      </c>
      <c r="AQ9">
        <v>-4.5426575036791657E-2</v>
      </c>
      <c r="AR9">
        <v>-0.33130347413503669</v>
      </c>
      <c r="AS9">
        <v>0.45714170276033078</v>
      </c>
      <c r="AT9">
        <v>-0.76775654495630774</v>
      </c>
      <c r="AU9">
        <v>5.4395539042580328E-2</v>
      </c>
      <c r="AV9">
        <v>0.17470328667598989</v>
      </c>
      <c r="AW9">
        <v>-0.32433364617298449</v>
      </c>
      <c r="AX9">
        <v>-0.11171797033203</v>
      </c>
    </row>
    <row r="10" spans="1:50" x14ac:dyDescent="0.25">
      <c r="A10">
        <v>0.29565575336846689</v>
      </c>
      <c r="B10">
        <v>-3.2319016042128931E-2</v>
      </c>
      <c r="C10">
        <v>-1.087566703657552</v>
      </c>
      <c r="D10">
        <v>-1.7121831002917669</v>
      </c>
      <c r="E10">
        <v>-5.096509846796003E-3</v>
      </c>
      <c r="F10">
        <v>-0.88142244588229002</v>
      </c>
      <c r="G10">
        <v>0.54082479147292939</v>
      </c>
      <c r="H10">
        <v>-0.17390260637790469</v>
      </c>
      <c r="I10">
        <v>-3.7094667982175991E-2</v>
      </c>
      <c r="J10">
        <v>0.33573456363581827</v>
      </c>
      <c r="K10">
        <v>0.67306624371980928</v>
      </c>
      <c r="L10">
        <v>-0.79527054539018593</v>
      </c>
      <c r="M10">
        <v>8.3269516449130984E-2</v>
      </c>
      <c r="N10">
        <v>-0.55597112684116745</v>
      </c>
      <c r="O10">
        <v>-0.18259094568116721</v>
      </c>
      <c r="P10">
        <v>-0.56732260253737998</v>
      </c>
      <c r="Q10">
        <v>-3.3934967760876129E-2</v>
      </c>
      <c r="R10">
        <v>-0.41789488410899389</v>
      </c>
      <c r="S10">
        <v>0.2218528664465261</v>
      </c>
      <c r="T10">
        <v>-0.1007761154865527</v>
      </c>
      <c r="U10">
        <v>-0.49861368794746741</v>
      </c>
      <c r="V10">
        <v>0.53666141978261162</v>
      </c>
      <c r="W10">
        <v>-0.73284210731792421</v>
      </c>
      <c r="X10">
        <v>-1.244013295525933E-2</v>
      </c>
      <c r="Y10">
        <v>-1.276345216117728</v>
      </c>
      <c r="Z10">
        <v>-1.2031730644120029</v>
      </c>
      <c r="AA10">
        <v>-0.48318807862043522</v>
      </c>
      <c r="AB10">
        <v>0.42313129055549742</v>
      </c>
      <c r="AC10">
        <v>-0.1053680466056459</v>
      </c>
      <c r="AD10">
        <v>-5.63638822155818E-2</v>
      </c>
      <c r="AE10">
        <v>0.45350998789315961</v>
      </c>
      <c r="AF10">
        <v>-0.51529836508334137</v>
      </c>
      <c r="AG10">
        <v>-0.60663837776564555</v>
      </c>
      <c r="AH10">
        <v>-0.34834413136696529</v>
      </c>
      <c r="AI10">
        <v>0.24049858507038979</v>
      </c>
      <c r="AJ10">
        <v>-2.3512782765202619E-2</v>
      </c>
      <c r="AK10">
        <v>-5.4066715491829023E-2</v>
      </c>
      <c r="AL10">
        <v>-8.8557115870470746E-3</v>
      </c>
      <c r="AM10">
        <v>0.14395427898126389</v>
      </c>
      <c r="AN10">
        <v>0.53887911928132926</v>
      </c>
      <c r="AO10">
        <v>-0.66157397529575768</v>
      </c>
      <c r="AP10">
        <v>-0.46797462989561911</v>
      </c>
      <c r="AQ10">
        <v>0.31546433408539698</v>
      </c>
      <c r="AR10">
        <v>-0.43930717698318428</v>
      </c>
      <c r="AS10">
        <v>-0.56290821989084672</v>
      </c>
      <c r="AT10">
        <v>0.3622665648651035</v>
      </c>
      <c r="AU10">
        <v>0.43357574029939122</v>
      </c>
      <c r="AV10">
        <v>-0.34092607620023802</v>
      </c>
      <c r="AW10">
        <v>0.41375024530574611</v>
      </c>
      <c r="AX10">
        <v>0.11220861425753351</v>
      </c>
    </row>
    <row r="11" spans="1:50" x14ac:dyDescent="0.25">
      <c r="A11">
        <v>-8.7537380215766319E-2</v>
      </c>
      <c r="B11">
        <v>0.59885935061444395</v>
      </c>
      <c r="C11">
        <v>-0.37970769698084222</v>
      </c>
      <c r="D11">
        <v>0.77157233915831824</v>
      </c>
      <c r="E11">
        <v>4.8970260679051567E-2</v>
      </c>
      <c r="F11">
        <v>-3.9880203426442877E-2</v>
      </c>
      <c r="G11">
        <v>-0.30226883209862182</v>
      </c>
      <c r="H11">
        <v>-0.21126110759170699</v>
      </c>
      <c r="I11">
        <v>-0.21361018702481249</v>
      </c>
      <c r="J11">
        <v>0.78954386139173505</v>
      </c>
      <c r="K11">
        <v>-0.25945084680718439</v>
      </c>
      <c r="L11">
        <v>0.18479422629374179</v>
      </c>
      <c r="M11">
        <v>0.21986614645455629</v>
      </c>
      <c r="N11">
        <v>-0.46910323906894602</v>
      </c>
      <c r="O11">
        <v>-0.96373565306488074</v>
      </c>
      <c r="P11">
        <v>-0.71110668441209879</v>
      </c>
      <c r="Q11">
        <v>-0.27273595181303267</v>
      </c>
      <c r="R11">
        <v>-0.5156175528883612</v>
      </c>
      <c r="S11">
        <v>-0.1846198422313092</v>
      </c>
      <c r="T11">
        <v>0.19600560609863649</v>
      </c>
      <c r="U11">
        <v>0.32919230509312569</v>
      </c>
      <c r="V11">
        <v>-2.4967440464977779E-2</v>
      </c>
      <c r="W11">
        <v>0.3605585237593501</v>
      </c>
      <c r="X11">
        <v>-0.16371564449814491</v>
      </c>
      <c r="Y11">
        <v>5.5768274213029503E-2</v>
      </c>
      <c r="Z11">
        <v>0.23193024222059791</v>
      </c>
      <c r="AA11">
        <v>-0.12501290398230941</v>
      </c>
      <c r="AB11">
        <v>-0.25804066640463019</v>
      </c>
      <c r="AC11">
        <v>-0.1714009468181818</v>
      </c>
      <c r="AD11">
        <v>-0.44257729100036591</v>
      </c>
      <c r="AE11">
        <v>5.6804173644154653E-2</v>
      </c>
      <c r="AF11">
        <v>-4.1317806661903538E-2</v>
      </c>
      <c r="AG11">
        <v>2.621281175695122E-2</v>
      </c>
      <c r="AH11">
        <v>-2.2817711312407399E-2</v>
      </c>
      <c r="AI11">
        <v>-0.13175502706538519</v>
      </c>
      <c r="AJ11">
        <v>-0.52748524646786177</v>
      </c>
      <c r="AK11">
        <v>-6.1154527919016592E-2</v>
      </c>
      <c r="AL11">
        <v>1.0498136893743249E-2</v>
      </c>
      <c r="AM11">
        <v>-0.2085850908690326</v>
      </c>
      <c r="AN11">
        <v>-0.3411886281925664</v>
      </c>
      <c r="AO11">
        <v>0.13029971870430021</v>
      </c>
      <c r="AP11">
        <v>-0.33181998990914507</v>
      </c>
      <c r="AQ11">
        <v>0.4121158143782131</v>
      </c>
      <c r="AR11">
        <v>0.24341495287655909</v>
      </c>
      <c r="AS11">
        <v>0.32883637249397418</v>
      </c>
      <c r="AT11">
        <v>0.4102804927783254</v>
      </c>
      <c r="AU11">
        <v>-0.53347750812647066</v>
      </c>
      <c r="AV11">
        <v>-0.16741163340916171</v>
      </c>
      <c r="AW11">
        <v>0.44319690884570601</v>
      </c>
      <c r="AX11">
        <v>-1.07418869261324</v>
      </c>
    </row>
    <row r="12" spans="1:50" x14ac:dyDescent="0.25">
      <c r="A12">
        <v>-1.046150815252795</v>
      </c>
      <c r="B12">
        <v>-0.21759696117732499</v>
      </c>
      <c r="C12">
        <v>-0.42845682748525038</v>
      </c>
      <c r="D12">
        <v>0.21738322638076341</v>
      </c>
      <c r="E12">
        <v>0.54148538712725214</v>
      </c>
      <c r="F12">
        <v>-5.35784863007219E-2</v>
      </c>
      <c r="G12">
        <v>0.44690645093713699</v>
      </c>
      <c r="H12">
        <v>-0.77995346560446166</v>
      </c>
      <c r="I12">
        <v>0.15173916877876051</v>
      </c>
      <c r="J12">
        <v>0.60367788547423495</v>
      </c>
      <c r="K12">
        <v>0.86907596361690154</v>
      </c>
      <c r="L12">
        <v>0.26699895330796491</v>
      </c>
      <c r="M12">
        <v>-0.29229236679359177</v>
      </c>
      <c r="N12">
        <v>0.65216224835811254</v>
      </c>
      <c r="O12">
        <v>-0.1064866620246081</v>
      </c>
      <c r="P12">
        <v>0.63050105351677199</v>
      </c>
      <c r="Q12">
        <v>0.1232326648646255</v>
      </c>
      <c r="R12">
        <v>0.40138275799452239</v>
      </c>
      <c r="S12">
        <v>5.3544381384942302E-2</v>
      </c>
      <c r="T12">
        <v>-1.096667491136184</v>
      </c>
      <c r="U12">
        <v>-0.23186023413165369</v>
      </c>
      <c r="V12">
        <v>0.49199157790654202</v>
      </c>
      <c r="W12">
        <v>0.15642350812192929</v>
      </c>
      <c r="X12">
        <v>0.1017385361762735</v>
      </c>
      <c r="Y12">
        <v>0.35771145467595439</v>
      </c>
      <c r="Z12">
        <v>0.52491917330664073</v>
      </c>
      <c r="AA12">
        <v>-0.1948887866261183</v>
      </c>
      <c r="AB12">
        <v>-0.1002130930138702</v>
      </c>
      <c r="AC12">
        <v>-0.25658460444682257</v>
      </c>
      <c r="AD12">
        <v>2.0981877394688851E-2</v>
      </c>
      <c r="AE12">
        <v>-0.28246661521735023</v>
      </c>
      <c r="AF12">
        <v>0.8940277180313867</v>
      </c>
      <c r="AG12">
        <v>0.30808483277284382</v>
      </c>
      <c r="AH12">
        <v>-0.65563128228470502</v>
      </c>
      <c r="AI12">
        <v>-0.25123201232885328</v>
      </c>
      <c r="AJ12">
        <v>-0.50832893595886819</v>
      </c>
      <c r="AK12">
        <v>0.14028888619766461</v>
      </c>
      <c r="AL12">
        <v>0.10557102800014059</v>
      </c>
      <c r="AM12">
        <v>-1.197222281938241</v>
      </c>
      <c r="AN12">
        <v>-0.31022021102838948</v>
      </c>
      <c r="AO12">
        <v>-6.3428122293816058E-2</v>
      </c>
      <c r="AP12">
        <v>-0.216902900142112</v>
      </c>
      <c r="AQ12">
        <v>-1.495897172466317</v>
      </c>
      <c r="AR12">
        <v>-0.50389302637002931</v>
      </c>
      <c r="AS12">
        <v>0.59288983908625037</v>
      </c>
      <c r="AT12">
        <v>0.10879094890357111</v>
      </c>
      <c r="AU12">
        <v>0.44875394106380578</v>
      </c>
      <c r="AV12">
        <v>0.54306318198993864</v>
      </c>
      <c r="AW12">
        <v>-1.8790807870179581E-2</v>
      </c>
      <c r="AX12">
        <v>-0.79446500742649107</v>
      </c>
    </row>
    <row r="13" spans="1:50" x14ac:dyDescent="0.25">
      <c r="A13">
        <v>-0.2229882447989443</v>
      </c>
      <c r="B13">
        <v>0.42309879611555928</v>
      </c>
      <c r="C13">
        <v>0.44639302719490248</v>
      </c>
      <c r="D13">
        <v>-0.5717494314250896</v>
      </c>
      <c r="E13">
        <v>-3.5805875540789948E-2</v>
      </c>
      <c r="F13">
        <v>-0.71849202786575028</v>
      </c>
      <c r="G13">
        <v>-0.33158831337759009</v>
      </c>
      <c r="H13">
        <v>0.42406224597138359</v>
      </c>
      <c r="I13">
        <v>0.18941996121647539</v>
      </c>
      <c r="J13">
        <v>-0.47442205248056118</v>
      </c>
      <c r="K13">
        <v>-0.50687690530099316</v>
      </c>
      <c r="L13">
        <v>7.238060768367735E-2</v>
      </c>
      <c r="M13">
        <v>-0.38526197579543048</v>
      </c>
      <c r="N13">
        <v>-0.30515381406769138</v>
      </c>
      <c r="O13">
        <v>0.44601613326365619</v>
      </c>
      <c r="P13">
        <v>0.35744387030905278</v>
      </c>
      <c r="Q13">
        <v>-0.69708044785177758</v>
      </c>
      <c r="R13">
        <v>-0.76472203692193641</v>
      </c>
      <c r="S13">
        <v>0.39993849324613268</v>
      </c>
      <c r="T13">
        <v>0.23227956035011979</v>
      </c>
      <c r="U13">
        <v>-0.69886735183554693</v>
      </c>
      <c r="V13">
        <v>0.59356620756859568</v>
      </c>
      <c r="W13">
        <v>3.022983992318078E-2</v>
      </c>
      <c r="X13">
        <v>0.26897156516719201</v>
      </c>
      <c r="Y13">
        <v>-0.38918295148019377</v>
      </c>
      <c r="Z13">
        <v>0.16092630759461529</v>
      </c>
      <c r="AA13">
        <v>0.3274352948060984</v>
      </c>
      <c r="AB13">
        <v>3.4547763117404331E-3</v>
      </c>
      <c r="AC13">
        <v>-0.86031628379030012</v>
      </c>
      <c r="AD13">
        <v>-0.28494980542514908</v>
      </c>
      <c r="AE13">
        <v>0.1036202140831753</v>
      </c>
      <c r="AF13">
        <v>-0.26004309263979908</v>
      </c>
      <c r="AG13">
        <v>-0.49079134423198828</v>
      </c>
      <c r="AH13">
        <v>-0.50764555187633709</v>
      </c>
      <c r="AI13">
        <v>-9.1059830479809215E-2</v>
      </c>
      <c r="AJ13">
        <v>-0.26105137730151851</v>
      </c>
      <c r="AK13">
        <v>0.762228954256154</v>
      </c>
      <c r="AL13">
        <v>0.5289632978962554</v>
      </c>
      <c r="AM13">
        <v>-0.35065605359674779</v>
      </c>
      <c r="AN13">
        <v>-9.3326579137897436E-2</v>
      </c>
      <c r="AO13">
        <v>0.67497920184885785</v>
      </c>
      <c r="AP13">
        <v>-3.8056091441270083E-2</v>
      </c>
      <c r="AQ13">
        <v>-0.73872784437901273</v>
      </c>
      <c r="AR13">
        <v>-1.0140342053898219</v>
      </c>
      <c r="AS13">
        <v>-0.1136058975778262</v>
      </c>
      <c r="AT13">
        <v>-0.37090213685743939</v>
      </c>
      <c r="AU13">
        <v>-0.14055335096954341</v>
      </c>
      <c r="AV13">
        <v>-7.1138331324793164E-2</v>
      </c>
      <c r="AW13">
        <v>0.45669193228590088</v>
      </c>
      <c r="AX13">
        <v>0.1882937730310294</v>
      </c>
    </row>
    <row r="14" spans="1:50" x14ac:dyDescent="0.25">
      <c r="A14">
        <v>0.12119573602096261</v>
      </c>
      <c r="B14">
        <v>0.31136694544559912</v>
      </c>
      <c r="C14">
        <v>-5.8729427760496132E-2</v>
      </c>
      <c r="D14">
        <v>-9.5661389043602163E-2</v>
      </c>
      <c r="E14">
        <v>0.35459541965956137</v>
      </c>
      <c r="F14">
        <v>-0.18501874491610029</v>
      </c>
      <c r="G14">
        <v>0.13951221585643639</v>
      </c>
      <c r="H14">
        <v>-0.32500080886704669</v>
      </c>
      <c r="I14">
        <v>-0.13935811183895261</v>
      </c>
      <c r="J14">
        <v>-0.26502442555124972</v>
      </c>
      <c r="K14">
        <v>-0.69330837166585568</v>
      </c>
      <c r="L14">
        <v>0.51254039339234581</v>
      </c>
      <c r="M14">
        <v>0.13430811380420959</v>
      </c>
      <c r="N14">
        <v>-0.31528082556373549</v>
      </c>
      <c r="O14">
        <v>-0.16660528409739159</v>
      </c>
      <c r="P14">
        <v>-0.13391053735721969</v>
      </c>
      <c r="Q14">
        <v>0.61572276892189004</v>
      </c>
      <c r="R14">
        <v>-0.8453420974374789</v>
      </c>
      <c r="S14">
        <v>-3.6384895771219838E-3</v>
      </c>
      <c r="T14">
        <v>-0.44664045516428408</v>
      </c>
      <c r="U14">
        <v>0.26795776988509129</v>
      </c>
      <c r="V14">
        <v>0.3668861420710286</v>
      </c>
      <c r="W14">
        <v>-4.8251672742106073E-2</v>
      </c>
      <c r="X14">
        <v>-0.2189300528546039</v>
      </c>
      <c r="Y14">
        <v>0.1170902731661011</v>
      </c>
      <c r="Z14">
        <v>-9.5075086286320595E-2</v>
      </c>
      <c r="AA14">
        <v>-0.46709874263024659</v>
      </c>
      <c r="AB14">
        <v>0.28562778927669202</v>
      </c>
      <c r="AC14">
        <v>4.9231903549125017E-2</v>
      </c>
      <c r="AD14">
        <v>-0.46385841732780059</v>
      </c>
      <c r="AE14">
        <v>0.1334610603774645</v>
      </c>
      <c r="AF14">
        <v>0.48000659012886648</v>
      </c>
      <c r="AG14">
        <v>9.5169036091343515E-2</v>
      </c>
      <c r="AH14">
        <v>-8.2879262388847907E-2</v>
      </c>
      <c r="AI14">
        <v>-0.38288544386859791</v>
      </c>
      <c r="AJ14">
        <v>0.52815382579733694</v>
      </c>
      <c r="AK14">
        <v>-7.3304654711299502E-2</v>
      </c>
      <c r="AL14">
        <v>-0.38981308177577279</v>
      </c>
      <c r="AM14">
        <v>-0.1405302862490371</v>
      </c>
      <c r="AN14">
        <v>-0.1278247785306304</v>
      </c>
      <c r="AO14">
        <v>-0.40240347374500529</v>
      </c>
      <c r="AP14">
        <v>-2.52451995683446E-2</v>
      </c>
      <c r="AQ14">
        <v>0.25777769198972</v>
      </c>
      <c r="AR14">
        <v>5.2208707364333543E-2</v>
      </c>
      <c r="AS14">
        <v>-0.22259808506263001</v>
      </c>
      <c r="AT14">
        <v>0.53330862901426668</v>
      </c>
      <c r="AU14">
        <v>-2.9963459815820381E-2</v>
      </c>
      <c r="AV14">
        <v>-0.55460862150605439</v>
      </c>
      <c r="AW14">
        <v>0.21119428192841971</v>
      </c>
      <c r="AX14">
        <v>-0.1673483839864198</v>
      </c>
    </row>
    <row r="15" spans="1:50" x14ac:dyDescent="0.25">
      <c r="A15">
        <v>0.32302276667762891</v>
      </c>
      <c r="B15">
        <v>-1.0114792542246169</v>
      </c>
      <c r="C15">
        <v>-8.7127653567915561E-2</v>
      </c>
      <c r="D15">
        <v>0.1052404326345134</v>
      </c>
      <c r="E15">
        <v>-0.50540428276664773</v>
      </c>
      <c r="F15">
        <v>0.6864563072429507</v>
      </c>
      <c r="G15">
        <v>0.30643343437307158</v>
      </c>
      <c r="H15">
        <v>-0.26086136848916552</v>
      </c>
      <c r="I15">
        <v>-0.25538462939587209</v>
      </c>
      <c r="J15">
        <v>0.68298936372960073</v>
      </c>
      <c r="K15">
        <v>0.62986455700600963</v>
      </c>
      <c r="L15">
        <v>-0.1074197969721632</v>
      </c>
      <c r="M15">
        <v>0.36173771175362962</v>
      </c>
      <c r="N15">
        <v>0.24268586848927989</v>
      </c>
      <c r="O15">
        <v>-0.42613559515478311</v>
      </c>
      <c r="P15">
        <v>0.18466246929708571</v>
      </c>
      <c r="Q15">
        <v>-0.34085756255815042</v>
      </c>
      <c r="R15">
        <v>0.64668767084320777</v>
      </c>
      <c r="S15">
        <v>-0.61398564758665253</v>
      </c>
      <c r="T15">
        <v>8.9172391814683311E-2</v>
      </c>
      <c r="U15">
        <v>0.61447361276207213</v>
      </c>
      <c r="V15">
        <v>-1.0223521876089861</v>
      </c>
      <c r="W15">
        <v>0.22119788258110071</v>
      </c>
      <c r="X15">
        <v>0.20039496934779841</v>
      </c>
      <c r="Y15">
        <v>0.29402692586746232</v>
      </c>
      <c r="Z15">
        <v>0.1101626812473374</v>
      </c>
      <c r="AA15">
        <v>-9.7445224939287367E-3</v>
      </c>
      <c r="AB15">
        <v>-8.5563460452958096E-2</v>
      </c>
      <c r="AC15">
        <v>0.1976059851426511</v>
      </c>
      <c r="AD15">
        <v>-0.13080160249584449</v>
      </c>
      <c r="AE15">
        <v>8.1077379189958085E-3</v>
      </c>
      <c r="AF15">
        <v>0.12316037531035109</v>
      </c>
      <c r="AG15">
        <v>0.14889112147928821</v>
      </c>
      <c r="AH15">
        <v>-2.3225424230439259E-2</v>
      </c>
      <c r="AI15">
        <v>-0.19513928167480299</v>
      </c>
      <c r="AJ15">
        <v>-0.18552195816406569</v>
      </c>
      <c r="AK15">
        <v>-9.0214227355917539E-2</v>
      </c>
      <c r="AL15">
        <v>9.2632675541610268E-2</v>
      </c>
      <c r="AM15">
        <v>8.9461630696393374E-2</v>
      </c>
      <c r="AN15">
        <v>4.9393040797705838E-2</v>
      </c>
      <c r="AO15">
        <v>-0.23479757962601161</v>
      </c>
      <c r="AP15">
        <v>-0.36585459005810989</v>
      </c>
      <c r="AQ15">
        <v>-0.1737450590365939</v>
      </c>
      <c r="AR15">
        <v>0.30437866312949402</v>
      </c>
      <c r="AS15">
        <v>0.25546330074084111</v>
      </c>
      <c r="AT15">
        <v>-0.40171233400403189</v>
      </c>
      <c r="AU15">
        <v>-0.18195914232311211</v>
      </c>
      <c r="AV15">
        <v>1.0543676708664041E-2</v>
      </c>
      <c r="AW15">
        <v>0.15217308452400161</v>
      </c>
      <c r="AX15">
        <v>0.42079604245062879</v>
      </c>
    </row>
    <row r="16" spans="1:50" x14ac:dyDescent="0.25">
      <c r="A16">
        <v>-0.11501007606103419</v>
      </c>
      <c r="B16">
        <v>-4.877423831716611E-2</v>
      </c>
      <c r="C16">
        <v>7.3548071598980955E-2</v>
      </c>
      <c r="D16">
        <v>0.43724780206781988</v>
      </c>
      <c r="E16">
        <v>-0.21586286688044509</v>
      </c>
      <c r="F16">
        <v>0.38054568554119589</v>
      </c>
      <c r="G16">
        <v>0.79277258005286533</v>
      </c>
      <c r="H16">
        <v>-0.56802522669122946</v>
      </c>
      <c r="I16">
        <v>-6.3450157475433755E-2</v>
      </c>
      <c r="J16">
        <v>3.1184892824681839E-2</v>
      </c>
      <c r="K16">
        <v>0.1777152098786407</v>
      </c>
      <c r="L16">
        <v>-0.2206285920407044</v>
      </c>
      <c r="M16">
        <v>0.1309866817833579</v>
      </c>
      <c r="N16">
        <v>0.47916587108471331</v>
      </c>
      <c r="O16">
        <v>-0.86563937170285954</v>
      </c>
      <c r="P16">
        <v>0.20537638279950199</v>
      </c>
      <c r="Q16">
        <v>-0.2141592751389074</v>
      </c>
      <c r="R16">
        <v>0.47439347255080122</v>
      </c>
      <c r="S16">
        <v>6.6784495608466984E-2</v>
      </c>
      <c r="T16">
        <v>-0.15925146790107839</v>
      </c>
      <c r="U16">
        <v>-0.1113586970030354</v>
      </c>
      <c r="V16">
        <v>1.9991277758444208E-2</v>
      </c>
      <c r="W16">
        <v>-0.32980511175674082</v>
      </c>
      <c r="X16">
        <v>0.16248128338569279</v>
      </c>
      <c r="Y16">
        <v>0.31927247374580831</v>
      </c>
      <c r="Z16">
        <v>-0.60189362439060656</v>
      </c>
      <c r="AA16">
        <v>-0.38297900037630672</v>
      </c>
      <c r="AB16">
        <v>-5.0978726747385072E-2</v>
      </c>
      <c r="AC16">
        <v>0.29412216990668122</v>
      </c>
      <c r="AD16">
        <v>0.34596144281266339</v>
      </c>
      <c r="AE16">
        <v>-0.26176796101847</v>
      </c>
      <c r="AF16">
        <v>0.1870156951790386</v>
      </c>
      <c r="AG16">
        <v>-0.77111424431898801</v>
      </c>
      <c r="AH16">
        <v>-3.388049102134303E-2</v>
      </c>
      <c r="AI16">
        <v>-0.55437382168401927</v>
      </c>
      <c r="AJ16">
        <v>-8.3005154619226681E-2</v>
      </c>
      <c r="AK16">
        <v>-9.0371469456514655E-2</v>
      </c>
      <c r="AL16">
        <v>-0.28670434765615183</v>
      </c>
      <c r="AM16">
        <v>0.67652404398387567</v>
      </c>
      <c r="AN16">
        <v>0.13287001753854771</v>
      </c>
      <c r="AO16">
        <v>0.4625484372542501</v>
      </c>
      <c r="AP16">
        <v>0.14371365748117099</v>
      </c>
      <c r="AQ16">
        <v>-6.7915096939180714E-2</v>
      </c>
      <c r="AR16">
        <v>-0.24482166935557181</v>
      </c>
      <c r="AS16">
        <v>-0.84798189560402248</v>
      </c>
      <c r="AT16">
        <v>0.49881735990929738</v>
      </c>
      <c r="AU16">
        <v>0.40148364760010891</v>
      </c>
      <c r="AV16">
        <v>3.590628941028999E-2</v>
      </c>
      <c r="AW16">
        <v>0.55708221844459571</v>
      </c>
      <c r="AX16">
        <v>9.1054084995182583E-2</v>
      </c>
    </row>
    <row r="17" spans="1:50" x14ac:dyDescent="0.25">
      <c r="A17">
        <v>0.20611575581919389</v>
      </c>
      <c r="B17">
        <v>-0.55373399092856834</v>
      </c>
      <c r="C17">
        <v>-0.61997728306049915</v>
      </c>
      <c r="D17">
        <v>9.4866291198042837E-2</v>
      </c>
      <c r="E17">
        <v>-0.28352692874133129</v>
      </c>
      <c r="F17">
        <v>0.57763538401480363</v>
      </c>
      <c r="G17">
        <v>0.2445517574199432</v>
      </c>
      <c r="H17">
        <v>-2.9129822501646401E-2</v>
      </c>
      <c r="I17">
        <v>0.8426469076094204</v>
      </c>
      <c r="J17">
        <v>0.1420471332188033</v>
      </c>
      <c r="K17">
        <v>0.75949076208965383</v>
      </c>
      <c r="L17">
        <v>0.32399035539401499</v>
      </c>
      <c r="M17">
        <v>5.3788483003450731E-2</v>
      </c>
      <c r="N17">
        <v>0.36324070013715098</v>
      </c>
      <c r="O17">
        <v>-1.1026692412934819E-2</v>
      </c>
      <c r="P17">
        <v>-0.1932005472465439</v>
      </c>
      <c r="Q17">
        <v>0.286746648457263</v>
      </c>
      <c r="R17">
        <v>0.24900324791331091</v>
      </c>
      <c r="S17">
        <v>-0.24469231715686199</v>
      </c>
      <c r="T17">
        <v>0.14102136528379791</v>
      </c>
      <c r="U17">
        <v>4.5944640718002833E-2</v>
      </c>
      <c r="V17">
        <v>-0.4678547720276453</v>
      </c>
      <c r="W17">
        <v>-0.35810929225810262</v>
      </c>
      <c r="X17">
        <v>-0.56764625220768472</v>
      </c>
      <c r="Y17">
        <v>-6.9475522726731895E-2</v>
      </c>
      <c r="Z17">
        <v>3.699216329390059E-3</v>
      </c>
      <c r="AA17">
        <v>-0.54705164576003684</v>
      </c>
      <c r="AB17">
        <v>2.6307293357675249E-2</v>
      </c>
      <c r="AC17">
        <v>0.8180265118339628</v>
      </c>
      <c r="AD17">
        <v>4.867171350267168E-2</v>
      </c>
      <c r="AE17">
        <v>-4.9931279961560923E-2</v>
      </c>
      <c r="AF17">
        <v>-0.15199006558857739</v>
      </c>
      <c r="AG17">
        <v>-0.29264935678367532</v>
      </c>
      <c r="AH17">
        <v>-0.15465773612830741</v>
      </c>
      <c r="AI17">
        <v>-1.527802285153127E-2</v>
      </c>
      <c r="AJ17">
        <v>0.3370091411727002</v>
      </c>
      <c r="AK17">
        <v>-0.2494906967554405</v>
      </c>
      <c r="AL17">
        <v>-1.3640341935374261</v>
      </c>
      <c r="AM17">
        <v>3.1467548156414157E-2</v>
      </c>
      <c r="AN17">
        <v>0.1933760416155679</v>
      </c>
      <c r="AO17">
        <v>-0.1925857487338288</v>
      </c>
      <c r="AP17">
        <v>-0.1585838474813375</v>
      </c>
      <c r="AQ17">
        <v>-0.34598748160741039</v>
      </c>
      <c r="AR17">
        <v>0.12808571911403821</v>
      </c>
      <c r="AS17">
        <v>0.16712935903279311</v>
      </c>
      <c r="AT17">
        <v>8.8772782687569884E-2</v>
      </c>
      <c r="AU17">
        <v>1.775183025238548E-2</v>
      </c>
      <c r="AV17">
        <v>0.47624246249817959</v>
      </c>
      <c r="AW17">
        <v>0.13595333013722821</v>
      </c>
      <c r="AX17">
        <v>-0.11062008125973791</v>
      </c>
    </row>
    <row r="18" spans="1:50" x14ac:dyDescent="0.25">
      <c r="A18">
        <v>-0.55805907899696205</v>
      </c>
      <c r="B18">
        <v>0.1865714753656276</v>
      </c>
      <c r="C18">
        <v>-0.1432935355641316</v>
      </c>
      <c r="D18">
        <v>0.19796352054652661</v>
      </c>
      <c r="E18">
        <v>0.54828571438624352</v>
      </c>
      <c r="F18">
        <v>-0.17574113177039391</v>
      </c>
      <c r="G18">
        <v>-1.255957819053297</v>
      </c>
      <c r="H18">
        <v>0.54871777027212387</v>
      </c>
      <c r="I18">
        <v>-0.74002611380026573</v>
      </c>
      <c r="J18">
        <v>-2.2911708248143831E-2</v>
      </c>
      <c r="K18">
        <v>-0.17664997621786011</v>
      </c>
      <c r="L18">
        <v>-0.48156970094672341</v>
      </c>
      <c r="M18">
        <v>-7.2144345917446229E-2</v>
      </c>
      <c r="N18">
        <v>-0.72853812128026396</v>
      </c>
      <c r="O18">
        <v>-7.4009516008167534E-2</v>
      </c>
      <c r="P18">
        <v>-0.26177410707679483</v>
      </c>
      <c r="Q18">
        <v>-0.14806000642286729</v>
      </c>
      <c r="R18">
        <v>-0.27025372684060822</v>
      </c>
      <c r="S18">
        <v>0.67988592562841577</v>
      </c>
      <c r="T18">
        <v>0.28243421863185969</v>
      </c>
      <c r="U18">
        <v>-0.32300172339691657</v>
      </c>
      <c r="V18">
        <v>-9.1377585765304525E-2</v>
      </c>
      <c r="W18">
        <v>-2.1799570464271081E-2</v>
      </c>
      <c r="X18">
        <v>0.15225127031093921</v>
      </c>
      <c r="Y18">
        <v>-0.166005498477582</v>
      </c>
      <c r="Z18">
        <v>0.12998738319126341</v>
      </c>
      <c r="AA18">
        <v>0.6992701128673533</v>
      </c>
      <c r="AB18">
        <v>0.1488579085063208</v>
      </c>
      <c r="AC18">
        <v>-0.57965523614918946</v>
      </c>
      <c r="AD18">
        <v>-0.30227059119511518</v>
      </c>
      <c r="AE18">
        <v>0.32449196881809128</v>
      </c>
      <c r="AF18">
        <v>0.40801424544849141</v>
      </c>
      <c r="AG18">
        <v>0.26565931736894488</v>
      </c>
      <c r="AH18">
        <v>6.1648166971265753E-2</v>
      </c>
      <c r="AI18">
        <v>0.93415492173445103</v>
      </c>
      <c r="AJ18">
        <v>-0.29161188092658757</v>
      </c>
      <c r="AK18">
        <v>-0.1172938847299084</v>
      </c>
      <c r="AL18">
        <v>0.28501638228977261</v>
      </c>
      <c r="AM18">
        <v>-0.32190845009451707</v>
      </c>
      <c r="AN18">
        <v>-0.83510529766396846</v>
      </c>
      <c r="AO18">
        <v>-0.11207037504606571</v>
      </c>
      <c r="AP18">
        <v>0.20313469677277579</v>
      </c>
      <c r="AQ18">
        <v>0.61354126471265502</v>
      </c>
      <c r="AR18">
        <v>0.19046757736493511</v>
      </c>
      <c r="AS18">
        <v>-8.7568789245643819E-2</v>
      </c>
      <c r="AT18">
        <v>-4.6087693009241308E-2</v>
      </c>
      <c r="AU18">
        <v>8.0075478605986586E-2</v>
      </c>
      <c r="AV18">
        <v>0.71137809713320521</v>
      </c>
      <c r="AW18">
        <v>-1.551811834691907</v>
      </c>
      <c r="AX18">
        <v>0.25234674927523659</v>
      </c>
    </row>
    <row r="19" spans="1:50" x14ac:dyDescent="0.25">
      <c r="A19">
        <v>-8.0066662749232173E-2</v>
      </c>
      <c r="B19">
        <v>0.13272791328174741</v>
      </c>
      <c r="C19">
        <v>8.3365033196941524E-2</v>
      </c>
      <c r="D19">
        <v>-9.3698932943941562E-2</v>
      </c>
      <c r="E19">
        <v>-0.41802940474796019</v>
      </c>
      <c r="F19">
        <v>-0.52967381483261455</v>
      </c>
      <c r="G19">
        <v>-5.2226301233384953E-2</v>
      </c>
      <c r="H19">
        <v>6.2597567315272468E-3</v>
      </c>
      <c r="I19">
        <v>0.11926699508728671</v>
      </c>
      <c r="J19">
        <v>-0.1088198353528792</v>
      </c>
      <c r="K19">
        <v>-0.27499941088004642</v>
      </c>
      <c r="L19">
        <v>-4.4762936801617082E-4</v>
      </c>
      <c r="M19">
        <v>-0.18674478543666551</v>
      </c>
      <c r="N19">
        <v>0.18477661467180001</v>
      </c>
      <c r="O19">
        <v>0.66597728549808055</v>
      </c>
      <c r="P19">
        <v>-2.870915860209582E-2</v>
      </c>
      <c r="Q19">
        <v>0.43902064683825448</v>
      </c>
      <c r="R19">
        <v>0.48054774473117812</v>
      </c>
      <c r="S19">
        <v>-0.71654256527669202</v>
      </c>
      <c r="T19">
        <v>-9.9615508332626085E-2</v>
      </c>
      <c r="U19">
        <v>0.1759763654047409</v>
      </c>
      <c r="V19">
        <v>7.1702303615374274E-2</v>
      </c>
      <c r="W19">
        <v>0.27702099140043968</v>
      </c>
      <c r="X19">
        <v>-8.0282975163278189E-2</v>
      </c>
      <c r="Y19">
        <v>-5.4682979976352221E-2</v>
      </c>
      <c r="Z19">
        <v>0.15469426363466149</v>
      </c>
      <c r="AA19">
        <v>-0.29441280157027422</v>
      </c>
      <c r="AB19">
        <v>-0.1237321967873707</v>
      </c>
      <c r="AC19">
        <v>2.5558913671592791E-2</v>
      </c>
      <c r="AD19">
        <v>0.5971982617381677</v>
      </c>
      <c r="AE19">
        <v>-0.41189319996818552</v>
      </c>
      <c r="AF19">
        <v>-0.61952026900071666</v>
      </c>
      <c r="AG19">
        <v>0.62278544117234436</v>
      </c>
      <c r="AH19">
        <v>0.55624700991439657</v>
      </c>
      <c r="AI19">
        <v>-9.6238933442581581E-3</v>
      </c>
      <c r="AJ19">
        <v>2.956602099440821E-2</v>
      </c>
      <c r="AK19">
        <v>-0.17925561441839821</v>
      </c>
      <c r="AL19">
        <v>0.45164785624269149</v>
      </c>
      <c r="AM19">
        <v>-0.1092070989005916</v>
      </c>
      <c r="AN19">
        <v>0.57452545492288432</v>
      </c>
      <c r="AO19">
        <v>-0.85622135684167966</v>
      </c>
      <c r="AP19">
        <v>0.20856486509505151</v>
      </c>
      <c r="AQ19">
        <v>0.28481523538589332</v>
      </c>
      <c r="AR19">
        <v>0.48030608315074419</v>
      </c>
      <c r="AS19">
        <v>0.32946181198731622</v>
      </c>
      <c r="AT19">
        <v>-0.15266213143161861</v>
      </c>
      <c r="AU19">
        <v>-0.25029274848792271</v>
      </c>
      <c r="AV19">
        <v>-0.32115039583127858</v>
      </c>
      <c r="AW19">
        <v>-5.0868245511107857E-2</v>
      </c>
      <c r="AX19">
        <v>-0.75804858913161965</v>
      </c>
    </row>
    <row r="20" spans="1:50" x14ac:dyDescent="0.25">
      <c r="A20">
        <v>0.17688148808201151</v>
      </c>
      <c r="B20">
        <v>0.1308982252122648</v>
      </c>
      <c r="C20">
        <v>0.65828579129867659</v>
      </c>
      <c r="D20">
        <v>0.37593425147008791</v>
      </c>
      <c r="E20">
        <v>0.38473238143088628</v>
      </c>
      <c r="F20">
        <v>1.5290462400382831E-2</v>
      </c>
      <c r="G20">
        <v>-7.8574673169248169E-2</v>
      </c>
      <c r="H20">
        <v>-1.497702670851446E-2</v>
      </c>
      <c r="I20">
        <v>0.19820932314187009</v>
      </c>
      <c r="J20">
        <v>-0.49370405265973111</v>
      </c>
      <c r="K20">
        <v>-0.1189271525676327</v>
      </c>
      <c r="L20">
        <v>-0.20712777093417581</v>
      </c>
      <c r="M20">
        <v>0.1881231232950735</v>
      </c>
      <c r="N20">
        <v>-7.3377404964292001E-2</v>
      </c>
      <c r="O20">
        <v>-0.37677029407461282</v>
      </c>
      <c r="P20">
        <v>-7.4538700932394744E-2</v>
      </c>
      <c r="Q20">
        <v>-0.36696851245840528</v>
      </c>
      <c r="R20">
        <v>-1.329114604161405</v>
      </c>
      <c r="S20">
        <v>-0.1149661635741597</v>
      </c>
      <c r="T20">
        <v>-0.39323758485208182</v>
      </c>
      <c r="U20">
        <v>0.65103335108516636</v>
      </c>
      <c r="V20">
        <v>0.38896127679186371</v>
      </c>
      <c r="W20">
        <v>0.27694770149948561</v>
      </c>
      <c r="X20">
        <v>-0.2695046217913773</v>
      </c>
      <c r="Y20">
        <v>-1.1195742281272929</v>
      </c>
      <c r="Z20">
        <v>0.33944315329888908</v>
      </c>
      <c r="AA20">
        <v>0.134532080522899</v>
      </c>
      <c r="AB20">
        <v>-0.14684108319179839</v>
      </c>
      <c r="AC20">
        <v>-0.35101265305008189</v>
      </c>
      <c r="AD20">
        <v>0.16936921958789941</v>
      </c>
      <c r="AE20">
        <v>0.29595236391709012</v>
      </c>
      <c r="AF20">
        <v>0.13153299143404759</v>
      </c>
      <c r="AG20">
        <v>-0.2394909814140945</v>
      </c>
      <c r="AH20">
        <v>0.1007730164354949</v>
      </c>
      <c r="AI20">
        <v>-7.0921327689635189E-3</v>
      </c>
      <c r="AJ20">
        <v>0.18786824402824259</v>
      </c>
      <c r="AK20">
        <v>0.34468838378426792</v>
      </c>
      <c r="AL20">
        <v>-0.45352021464358599</v>
      </c>
      <c r="AM20">
        <v>-0.62165942023328624</v>
      </c>
      <c r="AN20">
        <v>-0.24915967894843821</v>
      </c>
      <c r="AO20">
        <v>0.34206217777374498</v>
      </c>
      <c r="AP20">
        <v>0.33526165209329178</v>
      </c>
      <c r="AQ20">
        <v>-0.13584172927073171</v>
      </c>
      <c r="AR20">
        <v>-0.14034610862124261</v>
      </c>
      <c r="AS20">
        <v>-0.34351535112474912</v>
      </c>
      <c r="AT20">
        <v>-0.17167661861643199</v>
      </c>
      <c r="AU20">
        <v>0.1191779206738031</v>
      </c>
      <c r="AV20">
        <v>0.25919545047352782</v>
      </c>
      <c r="AW20">
        <v>-0.46002120641641342</v>
      </c>
      <c r="AX20">
        <v>0.59498349359483138</v>
      </c>
    </row>
    <row r="21" spans="1:50" x14ac:dyDescent="0.25">
      <c r="A21">
        <v>-1.2093602237701679</v>
      </c>
      <c r="B21">
        <v>0.14143595431122541</v>
      </c>
      <c r="C21">
        <v>-0.2266920059293166</v>
      </c>
      <c r="D21">
        <v>0.41872971028095501</v>
      </c>
      <c r="E21">
        <v>-6.4930347988656073E-2</v>
      </c>
      <c r="F21">
        <v>-0.19602547875660159</v>
      </c>
      <c r="G21">
        <v>0.24357145008357439</v>
      </c>
      <c r="H21">
        <v>5.2327973349193098E-2</v>
      </c>
      <c r="I21">
        <v>-0.45954143756140742</v>
      </c>
      <c r="J21">
        <v>0.59100343012034406</v>
      </c>
      <c r="K21">
        <v>0.45865505567857551</v>
      </c>
      <c r="L21">
        <v>-8.8128269726287622E-2</v>
      </c>
      <c r="M21">
        <v>0.29750660032700582</v>
      </c>
      <c r="N21">
        <v>-0.11959987424290069</v>
      </c>
      <c r="O21">
        <v>8.8987620197500908E-2</v>
      </c>
      <c r="P21">
        <v>-5.2112507208359728E-2</v>
      </c>
      <c r="Q21">
        <v>-0.59312533845966142</v>
      </c>
      <c r="R21">
        <v>0.27241102396786521</v>
      </c>
      <c r="S21">
        <v>0.215474522220096</v>
      </c>
      <c r="T21">
        <v>-0.76705485452710664</v>
      </c>
      <c r="U21">
        <v>-0.29236379507646298</v>
      </c>
      <c r="V21">
        <v>-0.40255264463505341</v>
      </c>
      <c r="W21">
        <v>0.36125197000464471</v>
      </c>
      <c r="X21">
        <v>-7.3828107957790347E-3</v>
      </c>
      <c r="Y21">
        <v>0.17793234163278179</v>
      </c>
      <c r="Z21">
        <v>2.5569521087487519E-2</v>
      </c>
      <c r="AA21">
        <v>-3.5104939228111323E-2</v>
      </c>
      <c r="AB21">
        <v>2.07354636209773E-2</v>
      </c>
      <c r="AC21">
        <v>-0.68174547626101478</v>
      </c>
      <c r="AD21">
        <v>-0.20356916399480421</v>
      </c>
      <c r="AE21">
        <v>-2.3701354336439651E-3</v>
      </c>
      <c r="AF21">
        <v>-0.49237693390184528</v>
      </c>
      <c r="AG21">
        <v>-0.17649575516597521</v>
      </c>
      <c r="AH21">
        <v>-0.1644313393613801</v>
      </c>
      <c r="AI21">
        <v>-0.30815908725109681</v>
      </c>
      <c r="AJ21">
        <v>0.19912889715241541</v>
      </c>
      <c r="AK21">
        <v>0.5058409887815879</v>
      </c>
      <c r="AL21">
        <v>-0.25103583426034742</v>
      </c>
      <c r="AM21">
        <v>-0.78165504353490689</v>
      </c>
      <c r="AN21">
        <v>-0.1156563979729535</v>
      </c>
      <c r="AO21">
        <v>-0.26871864538895152</v>
      </c>
      <c r="AP21">
        <v>-0.1548137413607234</v>
      </c>
      <c r="AQ21">
        <v>-6.8691374626999938E-2</v>
      </c>
      <c r="AR21">
        <v>4.1992668294503366E-3</v>
      </c>
      <c r="AS21">
        <v>0.41964018268910341</v>
      </c>
      <c r="AT21">
        <v>-0.67446202620310969</v>
      </c>
      <c r="AU21">
        <v>9.4013552748184709E-2</v>
      </c>
      <c r="AV21">
        <v>-0.60307274294106394</v>
      </c>
      <c r="AW21">
        <v>0.42288815603202062</v>
      </c>
      <c r="AX21">
        <v>-4.4216495936211034E-3</v>
      </c>
    </row>
    <row r="22" spans="1:50" x14ac:dyDescent="0.25">
      <c r="A22">
        <v>-0.21812315027156121</v>
      </c>
      <c r="B22">
        <v>0.69679184871525879</v>
      </c>
      <c r="C22">
        <v>-3.8320254762966653E-2</v>
      </c>
      <c r="D22">
        <v>0.32039912702514278</v>
      </c>
      <c r="E22">
        <v>-0.19856114536809041</v>
      </c>
      <c r="F22">
        <v>-0.70826184394209479</v>
      </c>
      <c r="G22">
        <v>0.24114422832953361</v>
      </c>
      <c r="H22">
        <v>-0.1371771751678571</v>
      </c>
      <c r="I22">
        <v>0.42410765042591447</v>
      </c>
      <c r="J22">
        <v>0.83967684012627353</v>
      </c>
      <c r="K22">
        <v>0.24216523886014121</v>
      </c>
      <c r="L22">
        <v>0.58522118017867486</v>
      </c>
      <c r="M22">
        <v>-0.1102927677039042</v>
      </c>
      <c r="N22">
        <v>-0.47255297859440032</v>
      </c>
      <c r="O22">
        <v>-0.87136606706442499</v>
      </c>
      <c r="P22">
        <v>0.40723143801965522</v>
      </c>
      <c r="Q22">
        <v>-2.1698543900610628E-2</v>
      </c>
      <c r="R22">
        <v>-0.1056769050286068</v>
      </c>
      <c r="S22">
        <v>-1.9886285477889759E-2</v>
      </c>
      <c r="T22">
        <v>-0.52215673009390295</v>
      </c>
      <c r="U22">
        <v>-0.1719469940573369</v>
      </c>
      <c r="V22">
        <v>-1.3956270838852169</v>
      </c>
      <c r="W22">
        <v>-0.64336113723980037</v>
      </c>
      <c r="X22">
        <v>-6.9589023013560417E-2</v>
      </c>
      <c r="Y22">
        <v>0.57496094783881324</v>
      </c>
      <c r="Z22">
        <v>9.0362134875218547E-2</v>
      </c>
      <c r="AA22">
        <v>-2.7032164620006901E-2</v>
      </c>
      <c r="AB22">
        <v>4.759132367783573E-2</v>
      </c>
      <c r="AC22">
        <v>0.1989884400695979</v>
      </c>
      <c r="AD22">
        <v>-0.33138998697404243</v>
      </c>
      <c r="AE22">
        <v>-0.49466710491611782</v>
      </c>
      <c r="AF22">
        <v>0.24254222221522359</v>
      </c>
      <c r="AG22">
        <v>-0.23312743183794449</v>
      </c>
      <c r="AH22">
        <v>-0.87023798353997106</v>
      </c>
      <c r="AI22">
        <v>0.39708132061287621</v>
      </c>
      <c r="AJ22">
        <v>4.3745791711867488E-2</v>
      </c>
      <c r="AK22">
        <v>8.7976268578422778E-2</v>
      </c>
      <c r="AL22">
        <v>-0.34339082880174598</v>
      </c>
      <c r="AM22">
        <v>1.007449210286157</v>
      </c>
      <c r="AN22">
        <v>0.28684217080811403</v>
      </c>
      <c r="AO22">
        <v>-0.69694307436376868</v>
      </c>
      <c r="AP22">
        <v>-0.10061321228677279</v>
      </c>
      <c r="AQ22">
        <v>0.37552802830410231</v>
      </c>
      <c r="AR22">
        <v>-0.48116771231198052</v>
      </c>
      <c r="AS22">
        <v>-1.16444415600542</v>
      </c>
      <c r="AT22">
        <v>-0.58802756636553588</v>
      </c>
      <c r="AU22">
        <v>-0.16937353880570141</v>
      </c>
      <c r="AV22">
        <v>-0.41013049170553723</v>
      </c>
      <c r="AW22">
        <v>0.32471196536637542</v>
      </c>
      <c r="AX22">
        <v>-6.3196791436700844E-2</v>
      </c>
    </row>
    <row r="23" spans="1:50" x14ac:dyDescent="0.25">
      <c r="A23">
        <v>-0.44009230260929172</v>
      </c>
      <c r="B23">
        <v>-0.207005796069337</v>
      </c>
      <c r="C23">
        <v>5.8582101679443353E-2</v>
      </c>
      <c r="D23">
        <v>0.18492007964464691</v>
      </c>
      <c r="E23">
        <v>0.4466201832500506</v>
      </c>
      <c r="F23">
        <v>-0.52568956033237468</v>
      </c>
      <c r="G23">
        <v>0.64860466990578647</v>
      </c>
      <c r="H23">
        <v>0.13613642572316351</v>
      </c>
      <c r="I23">
        <v>0.10550570270506419</v>
      </c>
      <c r="J23">
        <v>-1.1011466598585911</v>
      </c>
      <c r="K23">
        <v>0.2142527698610332</v>
      </c>
      <c r="L23">
        <v>0.27625925562949488</v>
      </c>
      <c r="M23">
        <v>-0.62029949766726411</v>
      </c>
      <c r="N23">
        <v>0.1466413083542274</v>
      </c>
      <c r="O23">
        <v>-0.24815057245519789</v>
      </c>
      <c r="P23">
        <v>0.5170529468146039</v>
      </c>
      <c r="Q23">
        <v>-0.94251780311822808</v>
      </c>
      <c r="R23">
        <v>0.37674729667268447</v>
      </c>
      <c r="S23">
        <v>0.1604192730211971</v>
      </c>
      <c r="T23">
        <v>-0.39922741790677169</v>
      </c>
      <c r="U23">
        <v>-0.1025631580188239</v>
      </c>
      <c r="V23">
        <v>0.10232854263742359</v>
      </c>
      <c r="W23">
        <v>-1.9971951844467029E-2</v>
      </c>
      <c r="X23">
        <v>0.2093537188490576</v>
      </c>
      <c r="Y23">
        <v>-0.36856384210728099</v>
      </c>
      <c r="Z23">
        <v>0.3409391318491195</v>
      </c>
      <c r="AA23">
        <v>9.511251527826374E-2</v>
      </c>
      <c r="AB23">
        <v>0.1843774609266442</v>
      </c>
      <c r="AC23">
        <v>-0.83830232380685488</v>
      </c>
      <c r="AD23">
        <v>0.24431454939319031</v>
      </c>
      <c r="AE23">
        <v>-9.5308637736348567E-2</v>
      </c>
      <c r="AF23">
        <v>9.9597128547022837E-2</v>
      </c>
      <c r="AG23">
        <v>0.2367231215772318</v>
      </c>
      <c r="AH23">
        <v>0.37647184943528272</v>
      </c>
      <c r="AI23">
        <v>-0.84735076719674085</v>
      </c>
      <c r="AJ23">
        <v>-0.84996978537589685</v>
      </c>
      <c r="AK23">
        <v>0.15036966503888941</v>
      </c>
      <c r="AL23">
        <v>1.3828388640932139E-2</v>
      </c>
      <c r="AM23">
        <v>0.49790405802791032</v>
      </c>
      <c r="AN23">
        <v>-0.37168126162653992</v>
      </c>
      <c r="AO23">
        <v>0.15898439619237389</v>
      </c>
      <c r="AP23">
        <v>0.2419819357929662</v>
      </c>
      <c r="AQ23">
        <v>0.4943982769432439</v>
      </c>
      <c r="AR23">
        <v>0.46151628766832931</v>
      </c>
      <c r="AS23">
        <v>2.7310391095892471E-2</v>
      </c>
      <c r="AT23">
        <v>0.32562528042423561</v>
      </c>
      <c r="AU23">
        <v>0.59236259636185862</v>
      </c>
      <c r="AV23">
        <v>0.2084438218480052</v>
      </c>
      <c r="AW23">
        <v>0.79715289801033962</v>
      </c>
      <c r="AX23">
        <v>0.78631509845382241</v>
      </c>
    </row>
    <row r="24" spans="1:50" x14ac:dyDescent="0.25">
      <c r="A24">
        <v>0.14287016924424301</v>
      </c>
      <c r="B24">
        <v>0.46430715812663259</v>
      </c>
      <c r="C24">
        <v>-0.27645877662510471</v>
      </c>
      <c r="D24">
        <v>0.41673485743092942</v>
      </c>
      <c r="E24">
        <v>0.182043876106985</v>
      </c>
      <c r="F24">
        <v>-5.6728554302370567E-2</v>
      </c>
      <c r="G24">
        <v>-0.3415006005409873</v>
      </c>
      <c r="H24">
        <v>0.14288496801113479</v>
      </c>
      <c r="I24">
        <v>0.88178428097460304</v>
      </c>
      <c r="J24">
        <v>-0.92153813606862978</v>
      </c>
      <c r="K24">
        <v>0.3074045931759114</v>
      </c>
      <c r="L24">
        <v>-0.89533838645254182</v>
      </c>
      <c r="M24">
        <v>-0.87649434201386001</v>
      </c>
      <c r="N24">
        <v>-0.30223244689178119</v>
      </c>
      <c r="O24">
        <v>-1.579915422443644</v>
      </c>
      <c r="P24">
        <v>0.24863315122814231</v>
      </c>
      <c r="Q24">
        <v>-0.16257696670139729</v>
      </c>
      <c r="R24">
        <v>-0.1113068206217547</v>
      </c>
      <c r="S24">
        <v>-0.30809635366941351</v>
      </c>
      <c r="T24">
        <v>0.35986216037791091</v>
      </c>
      <c r="U24">
        <v>-0.41146294575601389</v>
      </c>
      <c r="V24">
        <v>0.22982422373149811</v>
      </c>
      <c r="W24">
        <v>-0.23727287945852329</v>
      </c>
      <c r="X24">
        <v>-8.6043971708918462E-2</v>
      </c>
      <c r="Y24">
        <v>0.7379806921104588</v>
      </c>
      <c r="Z24">
        <v>0.21051308069825619</v>
      </c>
      <c r="AA24">
        <v>0.88074434803522972</v>
      </c>
      <c r="AB24">
        <v>0.30825188105990758</v>
      </c>
      <c r="AC24">
        <v>0.14533972792314759</v>
      </c>
      <c r="AD24">
        <v>0.1785475094839066</v>
      </c>
      <c r="AE24">
        <v>-0.48279545493765141</v>
      </c>
      <c r="AF24">
        <v>0.54450095466568271</v>
      </c>
      <c r="AG24">
        <v>1.145023717546771E-2</v>
      </c>
      <c r="AH24">
        <v>0.25586301523149052</v>
      </c>
      <c r="AI24">
        <v>-1.1699637980909681</v>
      </c>
      <c r="AJ24">
        <v>0.1363912285783323</v>
      </c>
      <c r="AK24">
        <v>0.43760465334822102</v>
      </c>
      <c r="AL24">
        <v>-0.95356460271704535</v>
      </c>
      <c r="AM24">
        <v>0.14735342255138781</v>
      </c>
      <c r="AN24">
        <v>-0.12783157664824821</v>
      </c>
      <c r="AO24">
        <v>-0.6433654414071448</v>
      </c>
      <c r="AP24">
        <v>0.1719528990354422</v>
      </c>
      <c r="AQ24">
        <v>2.5690634381732979E-2</v>
      </c>
      <c r="AR24">
        <v>0.15871372807595069</v>
      </c>
      <c r="AS24">
        <v>-7.1066046974841172E-3</v>
      </c>
      <c r="AT24">
        <v>-5.0160842594722081E-2</v>
      </c>
      <c r="AU24">
        <v>5.3069438872125507E-2</v>
      </c>
      <c r="AV24">
        <v>-0.1644383409693296</v>
      </c>
      <c r="AW24">
        <v>0.2352055254479635</v>
      </c>
      <c r="AX24">
        <v>-0.4988905999254124</v>
      </c>
    </row>
    <row r="25" spans="1:50" x14ac:dyDescent="0.25">
      <c r="A25">
        <v>-0.3957204393713224</v>
      </c>
      <c r="B25">
        <v>-0.24472736915411769</v>
      </c>
      <c r="C25">
        <v>0.15502817037921451</v>
      </c>
      <c r="D25">
        <v>-3.178994581302412E-2</v>
      </c>
      <c r="E25">
        <v>0.13903848663867319</v>
      </c>
      <c r="F25">
        <v>0.65221255919766163</v>
      </c>
      <c r="G25">
        <v>-0.320800696812578</v>
      </c>
      <c r="H25">
        <v>0.24812790160958861</v>
      </c>
      <c r="I25">
        <v>-0.1803655288517039</v>
      </c>
      <c r="J25">
        <v>-3.8272942778623517E-2</v>
      </c>
      <c r="K25">
        <v>-0.79652207044809176</v>
      </c>
      <c r="L25">
        <v>-0.15070888375457209</v>
      </c>
      <c r="M25">
        <v>7.1980788664042658E-2</v>
      </c>
      <c r="N25">
        <v>1.6476952762686591E-2</v>
      </c>
      <c r="O25">
        <v>6.3650259527188627E-2</v>
      </c>
      <c r="P25">
        <v>-0.70468563821716423</v>
      </c>
      <c r="Q25">
        <v>-0.38302786869131661</v>
      </c>
      <c r="R25">
        <v>0.22707405565468791</v>
      </c>
      <c r="S25">
        <v>-0.76146439474810024</v>
      </c>
      <c r="T25">
        <v>-0.31354188036877628</v>
      </c>
      <c r="U25">
        <v>0.43778124868052259</v>
      </c>
      <c r="V25">
        <v>-0.23436725396751659</v>
      </c>
      <c r="W25">
        <v>-0.1639876302758787</v>
      </c>
      <c r="X25">
        <v>0.209260137183511</v>
      </c>
      <c r="Y25">
        <v>0.38264177019081891</v>
      </c>
      <c r="Z25">
        <v>6.1428633937967402E-2</v>
      </c>
      <c r="AA25">
        <v>0.5025721529539664</v>
      </c>
      <c r="AB25">
        <v>0.24424254399466239</v>
      </c>
      <c r="AC25">
        <v>-0.114031654411062</v>
      </c>
      <c r="AD25">
        <v>-0.63365580652747544</v>
      </c>
      <c r="AE25">
        <v>0.31716321069240039</v>
      </c>
      <c r="AF25">
        <v>-0.99265342034687976</v>
      </c>
      <c r="AG25">
        <v>-0.72174411417200812</v>
      </c>
      <c r="AH25">
        <v>-0.2636641885292183</v>
      </c>
      <c r="AI25">
        <v>-0.17117001074148641</v>
      </c>
      <c r="AJ25">
        <v>-0.59447371566994656</v>
      </c>
      <c r="AK25">
        <v>0.47702899470606591</v>
      </c>
      <c r="AL25">
        <v>-0.54572280553903008</v>
      </c>
      <c r="AM25">
        <v>-3.2826144431221713E-2</v>
      </c>
      <c r="AN25">
        <v>-0.75925710205165631</v>
      </c>
      <c r="AO25">
        <v>-0.74593136519163306</v>
      </c>
      <c r="AP25">
        <v>-3.9211121213970211E-2</v>
      </c>
      <c r="AQ25">
        <v>0.48524473782839123</v>
      </c>
      <c r="AR25">
        <v>-0.24681365990355311</v>
      </c>
      <c r="AS25">
        <v>0.24503719347625219</v>
      </c>
      <c r="AT25">
        <v>-6.7299112478601819E-2</v>
      </c>
      <c r="AU25">
        <v>0.10328221238802419</v>
      </c>
      <c r="AV25">
        <v>-0.48917321225516502</v>
      </c>
      <c r="AW25">
        <v>-0.32095799206061132</v>
      </c>
      <c r="AX25">
        <v>-0.52809273528844991</v>
      </c>
    </row>
    <row r="26" spans="1:50" x14ac:dyDescent="0.25">
      <c r="A26">
        <v>-5.7391727335946871E-2</v>
      </c>
      <c r="B26">
        <v>-0.1805390975507411</v>
      </c>
      <c r="C26">
        <v>-0.31335173868897598</v>
      </c>
      <c r="D26">
        <v>-9.6256486781278891E-2</v>
      </c>
      <c r="E26">
        <v>0.36235567967864002</v>
      </c>
      <c r="F26">
        <v>0.21102332428152251</v>
      </c>
      <c r="G26">
        <v>-0.301795756421668</v>
      </c>
      <c r="H26">
        <v>-0.24710102740165921</v>
      </c>
      <c r="I26">
        <v>-3.102316290203495E-2</v>
      </c>
      <c r="J26">
        <v>-0.28824422996305471</v>
      </c>
      <c r="K26">
        <v>0.17308478386456419</v>
      </c>
      <c r="L26">
        <v>0.56744144871080371</v>
      </c>
      <c r="M26">
        <v>-8.6284493009679178E-2</v>
      </c>
      <c r="N26">
        <v>-0.51642260981793731</v>
      </c>
      <c r="O26">
        <v>0.33150627463729798</v>
      </c>
      <c r="P26">
        <v>-1.685821478413273</v>
      </c>
      <c r="Q26">
        <v>0.43688380104846519</v>
      </c>
      <c r="R26">
        <v>-8.6933637463585567E-2</v>
      </c>
      <c r="S26">
        <v>0.18802127999848009</v>
      </c>
      <c r="T26">
        <v>0.33746626931340079</v>
      </c>
      <c r="U26">
        <v>-0.45702740933195812</v>
      </c>
      <c r="V26">
        <v>-7.9671177990581321E-2</v>
      </c>
      <c r="W26">
        <v>-0.35927176058360111</v>
      </c>
      <c r="X26">
        <v>-0.2389234442060055</v>
      </c>
      <c r="Y26">
        <v>-0.34496130198149982</v>
      </c>
      <c r="Z26">
        <v>0.15078334202510491</v>
      </c>
      <c r="AA26">
        <v>0.32431467899067812</v>
      </c>
      <c r="AB26">
        <v>-0.265191458682839</v>
      </c>
      <c r="AC26">
        <v>0.20876996757143701</v>
      </c>
      <c r="AD26">
        <v>-3.389919030790961E-2</v>
      </c>
      <c r="AE26">
        <v>0.25565123213362739</v>
      </c>
      <c r="AF26">
        <v>0.54988691087656338</v>
      </c>
      <c r="AG26">
        <v>-8.7662140972137453E-2</v>
      </c>
      <c r="AH26">
        <v>3.1881708816399443E-2</v>
      </c>
      <c r="AI26">
        <v>-1.3894904056049991E-2</v>
      </c>
      <c r="AJ26">
        <v>-0.29967620759678543</v>
      </c>
      <c r="AK26">
        <v>0.30466205247630218</v>
      </c>
      <c r="AL26">
        <v>0.17108686804277029</v>
      </c>
      <c r="AM26">
        <v>-0.28038505224086491</v>
      </c>
      <c r="AN26">
        <v>-0.34489710443086141</v>
      </c>
      <c r="AO26">
        <v>0.51954715743169977</v>
      </c>
      <c r="AP26">
        <v>0.28733643760748212</v>
      </c>
      <c r="AQ26">
        <v>9.6057471908944814E-2</v>
      </c>
      <c r="AR26">
        <v>0.27790361908112199</v>
      </c>
      <c r="AS26">
        <v>-0.14506955082382489</v>
      </c>
      <c r="AT26">
        <v>0.44596968413925592</v>
      </c>
      <c r="AU26">
        <v>0.2218048012656583</v>
      </c>
      <c r="AV26">
        <v>0.15118863249576001</v>
      </c>
      <c r="AW26">
        <v>-0.19094406099043049</v>
      </c>
      <c r="AX26">
        <v>9.6371036684321676E-2</v>
      </c>
    </row>
    <row r="27" spans="1:50" x14ac:dyDescent="0.25">
      <c r="A27">
        <v>0.35726293488167471</v>
      </c>
      <c r="B27">
        <v>-0.50474573168299874</v>
      </c>
      <c r="C27">
        <v>-0.57842226593706603</v>
      </c>
      <c r="D27">
        <v>0.29887150945208102</v>
      </c>
      <c r="E27">
        <v>-0.14506557640923171</v>
      </c>
      <c r="F27">
        <v>-4.2887103303824052E-2</v>
      </c>
      <c r="G27">
        <v>4.150753669312264E-2</v>
      </c>
      <c r="H27">
        <v>-1.0511185976603239</v>
      </c>
      <c r="I27">
        <v>-3.4654848479608313E-2</v>
      </c>
      <c r="J27">
        <v>0.23478300709590161</v>
      </c>
      <c r="K27">
        <v>-3.7952619642295238E-2</v>
      </c>
      <c r="L27">
        <v>4.83497163231131E-2</v>
      </c>
      <c r="M27">
        <v>0.226744748705311</v>
      </c>
      <c r="N27">
        <v>0.37652825124439943</v>
      </c>
      <c r="O27">
        <v>0.48632872618902212</v>
      </c>
      <c r="P27">
        <v>1.6860190685252109E-2</v>
      </c>
      <c r="Q27">
        <v>0.29790957818811509</v>
      </c>
      <c r="R27">
        <v>3.9718721524339438E-2</v>
      </c>
      <c r="S27">
        <v>-2.549942219990552E-2</v>
      </c>
      <c r="T27">
        <v>-0.36997839752065242</v>
      </c>
      <c r="U27">
        <v>-9.0381631456175823E-2</v>
      </c>
      <c r="V27">
        <v>0.1126178089217129</v>
      </c>
      <c r="W27">
        <v>3.4278432109697547E-2</v>
      </c>
      <c r="X27">
        <v>0.22949169634813971</v>
      </c>
      <c r="Y27">
        <v>-0.86910459507033067</v>
      </c>
      <c r="Z27">
        <v>0.21332933825182801</v>
      </c>
      <c r="AA27">
        <v>0.39159357203750378</v>
      </c>
      <c r="AB27">
        <v>0.1064916485910043</v>
      </c>
      <c r="AC27">
        <v>0.48594513314030491</v>
      </c>
      <c r="AD27">
        <v>-0.23536151803328839</v>
      </c>
      <c r="AE27">
        <v>0.1011855546989248</v>
      </c>
      <c r="AF27">
        <v>0.26027063707647541</v>
      </c>
      <c r="AG27">
        <v>-0.2173002309495552</v>
      </c>
      <c r="AH27">
        <v>0.26687200989650872</v>
      </c>
      <c r="AI27">
        <v>0.13431633598447931</v>
      </c>
      <c r="AJ27">
        <v>-5.4763626103591673E-2</v>
      </c>
      <c r="AK27">
        <v>-9.912091238724012E-2</v>
      </c>
      <c r="AL27">
        <v>0.55325141028216718</v>
      </c>
      <c r="AM27">
        <v>8.4587803582827317E-2</v>
      </c>
      <c r="AN27">
        <v>-0.1877234282396808</v>
      </c>
      <c r="AO27">
        <v>-0.36439663235303471</v>
      </c>
      <c r="AP27">
        <v>-7.3343774023846023E-2</v>
      </c>
      <c r="AQ27">
        <v>0.16536748703719531</v>
      </c>
      <c r="AR27">
        <v>0.41822420152883588</v>
      </c>
      <c r="AS27">
        <v>-5.1986181435806971E-3</v>
      </c>
      <c r="AT27">
        <v>0.14352201979147031</v>
      </c>
      <c r="AU27">
        <v>-0.1406435830902803</v>
      </c>
      <c r="AV27">
        <v>-0.23270692040190599</v>
      </c>
      <c r="AW27">
        <v>-9.7195684230590843E-2</v>
      </c>
      <c r="AX27">
        <v>-0.79578888709009155</v>
      </c>
    </row>
    <row r="28" spans="1:50" x14ac:dyDescent="0.25">
      <c r="A28">
        <v>0.31351193866251759</v>
      </c>
      <c r="B28">
        <v>-0.4834465529941705</v>
      </c>
      <c r="C28">
        <v>0.28527722522637172</v>
      </c>
      <c r="D28">
        <v>-0.90912278595843721</v>
      </c>
      <c r="E28">
        <v>-3.8459278799353437E-2</v>
      </c>
      <c r="F28">
        <v>-0.46372509084196539</v>
      </c>
      <c r="G28">
        <v>0.36936333397528648</v>
      </c>
      <c r="H28">
        <v>0.1067782625898884</v>
      </c>
      <c r="I28">
        <v>-0.41594164903272768</v>
      </c>
      <c r="J28">
        <v>1.955232610498521E-2</v>
      </c>
      <c r="K28">
        <v>2.7455444094455279E-2</v>
      </c>
      <c r="L28">
        <v>0.15794674819821841</v>
      </c>
      <c r="M28">
        <v>0.3532055864896354</v>
      </c>
      <c r="N28">
        <v>0.24865327929489661</v>
      </c>
      <c r="O28">
        <v>-0.13836500073539651</v>
      </c>
      <c r="P28">
        <v>-1.461950273586057</v>
      </c>
      <c r="Q28">
        <v>0.25486106673463749</v>
      </c>
      <c r="R28">
        <v>0.59659629295671923</v>
      </c>
      <c r="S28">
        <v>-0.19464620655038831</v>
      </c>
      <c r="T28">
        <v>-0.39823854202128689</v>
      </c>
      <c r="U28">
        <v>-2.2407334851183649E-2</v>
      </c>
      <c r="V28">
        <v>-7.1000304604335526E-2</v>
      </c>
      <c r="W28">
        <v>0.3517201475148608</v>
      </c>
      <c r="X28">
        <v>2.5215066785500909E-2</v>
      </c>
      <c r="Y28">
        <v>-1.1485097128145501E-2</v>
      </c>
      <c r="Z28">
        <v>-4.2362632951357247E-2</v>
      </c>
      <c r="AA28">
        <v>0.20398289971703051</v>
      </c>
      <c r="AB28">
        <v>2.4925072038533679E-2</v>
      </c>
      <c r="AC28">
        <v>0.24432170414637699</v>
      </c>
      <c r="AD28">
        <v>-0.47652856767742457</v>
      </c>
      <c r="AE28">
        <v>-4.1366711537409132E-2</v>
      </c>
      <c r="AF28">
        <v>-0.76644798298502492</v>
      </c>
      <c r="AG28">
        <v>-0.26850635620602142</v>
      </c>
      <c r="AH28">
        <v>-0.1467993812195395</v>
      </c>
      <c r="AI28">
        <v>-9.6781021007800783E-2</v>
      </c>
      <c r="AJ28">
        <v>4.4316343373426208E-2</v>
      </c>
      <c r="AK28">
        <v>-0.33401481809562222</v>
      </c>
      <c r="AL28">
        <v>0.1898339444337287</v>
      </c>
      <c r="AM28">
        <v>0.78602592055715681</v>
      </c>
      <c r="AN28">
        <v>-0.94193289743014486</v>
      </c>
      <c r="AO28">
        <v>-1.1909157256583159E-2</v>
      </c>
      <c r="AP28">
        <v>-0.51880079846145466</v>
      </c>
      <c r="AQ28">
        <v>-1.1048258962746009</v>
      </c>
      <c r="AR28">
        <v>-6.2833896783286311E-2</v>
      </c>
      <c r="AS28">
        <v>-0.2187788421583699</v>
      </c>
      <c r="AT28">
        <v>0.51998886509136955</v>
      </c>
      <c r="AU28">
        <v>-0.40760824450076699</v>
      </c>
      <c r="AV28">
        <v>0.51788510176117297</v>
      </c>
      <c r="AW28">
        <v>0.33403729669646098</v>
      </c>
      <c r="AX28">
        <v>-0.28665237557732592</v>
      </c>
    </row>
    <row r="29" spans="1:50" x14ac:dyDescent="0.25">
      <c r="A29">
        <v>-0.22457544795180201</v>
      </c>
      <c r="B29">
        <v>-0.28458303566877541</v>
      </c>
      <c r="C29">
        <v>-0.59155428007210809</v>
      </c>
      <c r="D29">
        <v>0.27976657072912942</v>
      </c>
      <c r="E29">
        <v>0.1795636082198506</v>
      </c>
      <c r="F29">
        <v>-0.20212358289748461</v>
      </c>
      <c r="G29">
        <v>0.53710667384891186</v>
      </c>
      <c r="H29">
        <v>0.72814868667668031</v>
      </c>
      <c r="I29">
        <v>0.2505865227101487</v>
      </c>
      <c r="J29">
        <v>-0.13886171523915211</v>
      </c>
      <c r="K29">
        <v>-0.18715005118512951</v>
      </c>
      <c r="L29">
        <v>-0.42768706977911047</v>
      </c>
      <c r="M29">
        <v>0.13196108507542359</v>
      </c>
      <c r="N29">
        <v>-0.26315589831350678</v>
      </c>
      <c r="O29">
        <v>0.28426671167565798</v>
      </c>
      <c r="P29">
        <v>0.17042207557217781</v>
      </c>
      <c r="Q29">
        <v>-0.15736549695245999</v>
      </c>
      <c r="R29">
        <v>0.1886083486398098</v>
      </c>
      <c r="S29">
        <v>0.42798479863790412</v>
      </c>
      <c r="T29">
        <v>0.57782364418978649</v>
      </c>
      <c r="U29">
        <v>0.25944574371805068</v>
      </c>
      <c r="V29">
        <v>0.12042119549579081</v>
      </c>
      <c r="W29">
        <v>0.27910591640443982</v>
      </c>
      <c r="X29">
        <v>-0.39800476991286349</v>
      </c>
      <c r="Y29">
        <v>-0.30896860176996638</v>
      </c>
      <c r="Z29">
        <v>-1.715301705467627E-3</v>
      </c>
      <c r="AA29">
        <v>-0.37922162285446182</v>
      </c>
      <c r="AB29">
        <v>-4.7898021038977633E-2</v>
      </c>
      <c r="AC29">
        <v>-0.26291711662789929</v>
      </c>
      <c r="AD29">
        <v>0.1263279593862387</v>
      </c>
      <c r="AE29">
        <v>-0.27269841617282847</v>
      </c>
      <c r="AF29">
        <v>-0.1241224120467472</v>
      </c>
      <c r="AG29">
        <v>0.19080717036833439</v>
      </c>
      <c r="AH29">
        <v>-2.4851906617473229E-2</v>
      </c>
      <c r="AI29">
        <v>-8.4511554647618004E-2</v>
      </c>
      <c r="AJ29">
        <v>-0.63672627688214967</v>
      </c>
      <c r="AK29">
        <v>0.20547947937834621</v>
      </c>
      <c r="AL29">
        <v>0.26372219381374862</v>
      </c>
      <c r="AM29">
        <v>0.18591200946911501</v>
      </c>
      <c r="AN29">
        <v>-0.64080426818406933</v>
      </c>
      <c r="AO29">
        <v>0.4394607259775421</v>
      </c>
      <c r="AP29">
        <v>-0.95737553557921629</v>
      </c>
      <c r="AQ29">
        <v>-1.3631606430381871</v>
      </c>
      <c r="AR29">
        <v>-8.5075669301472034E-3</v>
      </c>
      <c r="AS29">
        <v>-0.20108119813080699</v>
      </c>
      <c r="AT29">
        <v>0.82549833308431053</v>
      </c>
      <c r="AU29">
        <v>-0.89123983209438029</v>
      </c>
      <c r="AV29">
        <v>0.1038527853299171</v>
      </c>
      <c r="AW29">
        <v>0.7506940874798701</v>
      </c>
      <c r="AX29">
        <v>-0.1585044662633566</v>
      </c>
    </row>
    <row r="30" spans="1:50" x14ac:dyDescent="0.25">
      <c r="A30">
        <v>2.8171074293745331E-2</v>
      </c>
      <c r="B30">
        <v>-1.8893752437773109E-2</v>
      </c>
      <c r="C30">
        <v>-0.2201771086688416</v>
      </c>
      <c r="D30">
        <v>-0.23206040625888419</v>
      </c>
      <c r="E30">
        <v>-0.68377227322694745</v>
      </c>
      <c r="F30">
        <v>-0.34313799287651681</v>
      </c>
      <c r="G30">
        <v>-0.29587369747930231</v>
      </c>
      <c r="H30">
        <v>0.36825081574738783</v>
      </c>
      <c r="I30">
        <v>0.1359282599756271</v>
      </c>
      <c r="J30">
        <v>2.9173431186447569E-2</v>
      </c>
      <c r="K30">
        <v>0.2410657857363239</v>
      </c>
      <c r="L30">
        <v>0.34107873288110879</v>
      </c>
      <c r="M30">
        <v>0.59046798742631645</v>
      </c>
      <c r="N30">
        <v>0.70024082970396262</v>
      </c>
      <c r="O30">
        <v>0.45249681180961471</v>
      </c>
      <c r="P30">
        <v>-7.4197271886624783E-2</v>
      </c>
      <c r="Q30">
        <v>-6.2780093735264095E-2</v>
      </c>
      <c r="R30">
        <v>0.63143586645947614</v>
      </c>
      <c r="S30">
        <v>0.238998921202769</v>
      </c>
      <c r="T30">
        <v>0.57521414506879653</v>
      </c>
      <c r="U30">
        <v>-5.4712677939497802E-3</v>
      </c>
      <c r="V30">
        <v>-0.9556097735812068</v>
      </c>
      <c r="W30">
        <v>-0.2225765961242642</v>
      </c>
      <c r="X30">
        <v>1.9628284279674009E-2</v>
      </c>
      <c r="Y30">
        <v>-0.4929564551720006</v>
      </c>
      <c r="Z30">
        <v>-0.2253724042584746</v>
      </c>
      <c r="AA30">
        <v>-0.42431078602086902</v>
      </c>
      <c r="AB30">
        <v>-7.9536720117162729E-2</v>
      </c>
      <c r="AC30">
        <v>-0.61557480997385805</v>
      </c>
      <c r="AD30">
        <v>-0.22433703342937111</v>
      </c>
      <c r="AE30">
        <v>0.17971788668779901</v>
      </c>
      <c r="AF30">
        <v>8.066322373536243E-2</v>
      </c>
      <c r="AG30">
        <v>-0.54398344657010789</v>
      </c>
      <c r="AH30">
        <v>-0.1947913404859383</v>
      </c>
      <c r="AI30">
        <v>0.30670545311320863</v>
      </c>
      <c r="AJ30">
        <v>0.205027394615001</v>
      </c>
      <c r="AK30">
        <v>-0.21437323991080859</v>
      </c>
      <c r="AL30">
        <v>-0.27963585656002099</v>
      </c>
      <c r="AM30">
        <v>-4.9705810319488029E-2</v>
      </c>
      <c r="AN30">
        <v>-3.5061335139277727E-2</v>
      </c>
      <c r="AO30">
        <v>-0.10118685017587679</v>
      </c>
      <c r="AP30">
        <v>-0.77808352399521352</v>
      </c>
      <c r="AQ30">
        <v>-0.97391746009647473</v>
      </c>
      <c r="AR30">
        <v>0.34497746413324681</v>
      </c>
      <c r="AS30">
        <v>-0.18813351748242141</v>
      </c>
      <c r="AT30">
        <v>0.17163137788093791</v>
      </c>
      <c r="AU30">
        <v>1.0427640983097319E-3</v>
      </c>
      <c r="AV30">
        <v>0.33851834014802767</v>
      </c>
      <c r="AW30">
        <v>0.32595891641249441</v>
      </c>
      <c r="AX30">
        <v>0.2288673103687327</v>
      </c>
    </row>
    <row r="31" spans="1:50" x14ac:dyDescent="0.25">
      <c r="A31">
        <v>0.1032826661978907</v>
      </c>
      <c r="B31">
        <v>-0.61512046768036099</v>
      </c>
      <c r="C31">
        <v>-0.1295980721439321</v>
      </c>
      <c r="D31">
        <v>0.39316707521397021</v>
      </c>
      <c r="E31">
        <v>0.39151156367435069</v>
      </c>
      <c r="F31">
        <v>-9.0434772791506912E-2</v>
      </c>
      <c r="G31">
        <v>-0.15846319753843191</v>
      </c>
      <c r="H31">
        <v>-6.6626502215876779E-2</v>
      </c>
      <c r="I31">
        <v>-0.2435197627742727</v>
      </c>
      <c r="J31">
        <v>4.6741444840226319E-2</v>
      </c>
      <c r="K31">
        <v>-0.21855810451217739</v>
      </c>
      <c r="L31">
        <v>6.6819063525566533E-2</v>
      </c>
      <c r="M31">
        <v>0.61406502260157625</v>
      </c>
      <c r="N31">
        <v>-3.1984522664523528E-2</v>
      </c>
      <c r="O31">
        <v>0.34045280981649872</v>
      </c>
      <c r="P31">
        <v>-0.36129830182539491</v>
      </c>
      <c r="Q31">
        <v>0.50114760067039232</v>
      </c>
      <c r="R31">
        <v>0.70505426453469178</v>
      </c>
      <c r="S31">
        <v>-0.1410985382379569</v>
      </c>
      <c r="T31">
        <v>0.80526381350679066</v>
      </c>
      <c r="U31">
        <v>-0.37411904735062818</v>
      </c>
      <c r="V31">
        <v>0.55749078355845538</v>
      </c>
      <c r="W31">
        <v>0.11950458892384171</v>
      </c>
      <c r="X31">
        <v>9.2754808585352577E-3</v>
      </c>
      <c r="Y31">
        <v>0.36952822944268648</v>
      </c>
      <c r="Z31">
        <v>0.20881125689955249</v>
      </c>
      <c r="AA31">
        <v>-1.6770246595434071</v>
      </c>
      <c r="AB31">
        <v>-0.26591381519332752</v>
      </c>
      <c r="AC31">
        <v>0.2154826890172766</v>
      </c>
      <c r="AD31">
        <v>-0.16450922996267059</v>
      </c>
      <c r="AE31">
        <v>-1.010643116403518E-2</v>
      </c>
      <c r="AF31">
        <v>6.0296600061969068E-2</v>
      </c>
      <c r="AG31">
        <v>-4.1159289637461863E-2</v>
      </c>
      <c r="AH31">
        <v>5.1516850549873733E-2</v>
      </c>
      <c r="AI31">
        <v>0.17841122067367349</v>
      </c>
      <c r="AJ31">
        <v>-0.46096306309936719</v>
      </c>
      <c r="AK31">
        <v>-1.2789480815390351</v>
      </c>
      <c r="AL31">
        <v>0.86178738997344184</v>
      </c>
      <c r="AM31">
        <v>0.36422477611715048</v>
      </c>
      <c r="AN31">
        <v>0.33145100060806831</v>
      </c>
      <c r="AO31">
        <v>-0.38107401177089473</v>
      </c>
      <c r="AP31">
        <v>8.9697256894359992E-2</v>
      </c>
      <c r="AQ31">
        <v>0.16340348947409189</v>
      </c>
      <c r="AR31">
        <v>2.637479262832159E-2</v>
      </c>
      <c r="AS31">
        <v>-0.35672593821064019</v>
      </c>
      <c r="AT31">
        <v>0.20660387012220999</v>
      </c>
      <c r="AU31">
        <v>-0.15051025938328419</v>
      </c>
      <c r="AV31">
        <v>-0.30088986309479848</v>
      </c>
      <c r="AW31">
        <v>-0.41692569591136303</v>
      </c>
      <c r="AX31">
        <v>0.23343717431767441</v>
      </c>
    </row>
    <row r="32" spans="1:50" x14ac:dyDescent="0.25">
      <c r="A32">
        <v>-0.56152553609394484</v>
      </c>
      <c r="B32">
        <v>0.70430045880615755</v>
      </c>
      <c r="C32">
        <v>0.24496573073380321</v>
      </c>
      <c r="D32">
        <v>0.39050299212907169</v>
      </c>
      <c r="E32">
        <v>0.48759433361914067</v>
      </c>
      <c r="F32">
        <v>0.1305050220730232</v>
      </c>
      <c r="G32">
        <v>0.2270734832563808</v>
      </c>
      <c r="H32">
        <v>-0.77781224805511906</v>
      </c>
      <c r="I32">
        <v>0.19940662753635299</v>
      </c>
      <c r="J32">
        <v>0.76973066856178274</v>
      </c>
      <c r="K32">
        <v>-1.2431001413867011</v>
      </c>
      <c r="L32">
        <v>-0.37958896558558491</v>
      </c>
      <c r="M32">
        <v>-0.2489755196119724</v>
      </c>
      <c r="N32">
        <v>0.13133381170841549</v>
      </c>
      <c r="O32">
        <v>-8.26390261828399E-2</v>
      </c>
      <c r="P32">
        <v>-8.0154273916782773E-2</v>
      </c>
      <c r="Q32">
        <v>0.4142353798010866</v>
      </c>
      <c r="R32">
        <v>-0.47023790363547108</v>
      </c>
      <c r="S32">
        <v>0.26625837299041538</v>
      </c>
      <c r="T32">
        <v>9.8226299331803282E-2</v>
      </c>
      <c r="U32">
        <v>-0.10184822033423251</v>
      </c>
      <c r="V32">
        <v>-0.2737149755424414</v>
      </c>
      <c r="W32">
        <v>-4.0456898204238742E-2</v>
      </c>
      <c r="X32">
        <v>-7.6572346681623563E-2</v>
      </c>
      <c r="Y32">
        <v>-0.23216823761073699</v>
      </c>
      <c r="Z32">
        <v>6.4270976313702627E-2</v>
      </c>
      <c r="AA32">
        <v>-3.9590398492367028E-2</v>
      </c>
      <c r="AB32">
        <v>0.4598905390255435</v>
      </c>
      <c r="AC32">
        <v>0.44043380084596029</v>
      </c>
      <c r="AD32">
        <v>0.30361165422205572</v>
      </c>
      <c r="AE32">
        <v>0.32511097928859839</v>
      </c>
      <c r="AF32">
        <v>0.23530813626106381</v>
      </c>
      <c r="AG32">
        <v>4.6731033782994848E-2</v>
      </c>
      <c r="AH32">
        <v>0.86139920918147828</v>
      </c>
      <c r="AI32">
        <v>0.57437330218293903</v>
      </c>
      <c r="AJ32">
        <v>-0.62863934094407758</v>
      </c>
      <c r="AK32">
        <v>-0.45249225841325091</v>
      </c>
      <c r="AL32">
        <v>0.154667570349768</v>
      </c>
      <c r="AM32">
        <v>0.11460262149091981</v>
      </c>
      <c r="AN32">
        <v>0.60774610054267542</v>
      </c>
      <c r="AO32">
        <v>0.30137304129201709</v>
      </c>
      <c r="AP32">
        <v>0.1399347755017416</v>
      </c>
      <c r="AQ32">
        <v>-9.3479368816585376E-2</v>
      </c>
      <c r="AR32">
        <v>0.35441401160597552</v>
      </c>
      <c r="AS32">
        <v>2.758084039632043E-2</v>
      </c>
      <c r="AT32">
        <v>-0.1785250143784935</v>
      </c>
      <c r="AU32">
        <v>2.226324538311231E-2</v>
      </c>
      <c r="AV32">
        <v>0.5411108573794654</v>
      </c>
      <c r="AW32">
        <v>-0.15347894101789261</v>
      </c>
      <c r="AX32">
        <v>0.20763249777269899</v>
      </c>
    </row>
    <row r="33" spans="1:50" x14ac:dyDescent="0.25">
      <c r="A33">
        <v>3.622803029110598E-3</v>
      </c>
      <c r="B33">
        <v>0.17413802680971319</v>
      </c>
      <c r="C33">
        <v>-7.1308681322160394E-2</v>
      </c>
      <c r="D33">
        <v>0.2164065093011148</v>
      </c>
      <c r="E33">
        <v>-0.85315857974689358</v>
      </c>
      <c r="F33">
        <v>0.26483018971331329</v>
      </c>
      <c r="G33">
        <v>-0.64508256475523562</v>
      </c>
      <c r="H33">
        <v>-3.1802875893733262E-2</v>
      </c>
      <c r="I33">
        <v>0.118072103857043</v>
      </c>
      <c r="J33">
        <v>0.33513758039750102</v>
      </c>
      <c r="K33">
        <v>-0.31447086336092261</v>
      </c>
      <c r="L33">
        <v>0.59110390771726329</v>
      </c>
      <c r="M33">
        <v>-7.9235376258575171E-2</v>
      </c>
      <c r="N33">
        <v>0.16326280140569671</v>
      </c>
      <c r="O33">
        <v>0.16063685989228529</v>
      </c>
      <c r="P33">
        <v>0.22019321150465671</v>
      </c>
      <c r="Q33">
        <v>-1.5605516432272379E-2</v>
      </c>
      <c r="R33">
        <v>0.32785512101353448</v>
      </c>
      <c r="S33">
        <v>-2.9411738416348941E-2</v>
      </c>
      <c r="T33">
        <v>0.12715783249228629</v>
      </c>
      <c r="U33">
        <v>5.0184161994536847E-2</v>
      </c>
      <c r="V33">
        <v>0.46987727534940671</v>
      </c>
      <c r="W33">
        <v>1.542373167253052E-2</v>
      </c>
      <c r="X33">
        <v>-1.7047012236988169E-2</v>
      </c>
      <c r="Y33">
        <v>0.49541399630946581</v>
      </c>
      <c r="Z33">
        <v>-0.61015864776621276</v>
      </c>
      <c r="AA33">
        <v>-0.31272602886681072</v>
      </c>
      <c r="AB33">
        <v>7.3530522183863078E-3</v>
      </c>
      <c r="AC33">
        <v>7.5302697116290229E-2</v>
      </c>
      <c r="AD33">
        <v>0.47555986850610332</v>
      </c>
      <c r="AE33">
        <v>-0.3755273324886913</v>
      </c>
      <c r="AF33">
        <v>0.1482504402694749</v>
      </c>
      <c r="AG33">
        <v>0.39545828591291299</v>
      </c>
      <c r="AH33">
        <v>0.31101710767182289</v>
      </c>
      <c r="AI33">
        <v>0.75493474858070719</v>
      </c>
      <c r="AJ33">
        <v>-0.47298190570532522</v>
      </c>
      <c r="AK33">
        <v>-4.7614131347372822E-2</v>
      </c>
      <c r="AL33">
        <v>0.26702342380791932</v>
      </c>
      <c r="AM33">
        <v>-0.19415079254109699</v>
      </c>
      <c r="AN33">
        <v>0.43630744077545047</v>
      </c>
      <c r="AO33">
        <v>-0.1286612847148024</v>
      </c>
      <c r="AP33">
        <v>1.848294959408717E-2</v>
      </c>
      <c r="AQ33">
        <v>0.1721367612558555</v>
      </c>
      <c r="AR33">
        <v>0.54410642440427126</v>
      </c>
      <c r="AS33">
        <v>-0.26946923755048902</v>
      </c>
      <c r="AT33">
        <v>0.14940470443613821</v>
      </c>
      <c r="AU33">
        <v>0.33216930101471859</v>
      </c>
      <c r="AV33">
        <v>0.36327488543313458</v>
      </c>
      <c r="AW33">
        <v>-0.71044715832905792</v>
      </c>
      <c r="AX33">
        <v>9.4519814031318677E-2</v>
      </c>
    </row>
    <row r="34" spans="1:50" x14ac:dyDescent="0.25">
      <c r="A34">
        <v>-0.16690234929344719</v>
      </c>
      <c r="B34">
        <v>-6.8148942965255227E-2</v>
      </c>
      <c r="C34">
        <v>-0.63620479545459641</v>
      </c>
      <c r="D34">
        <v>-9.8905931318237633E-2</v>
      </c>
      <c r="E34">
        <v>-0.86187294131916337</v>
      </c>
      <c r="F34">
        <v>6.6504975892706333E-2</v>
      </c>
      <c r="G34">
        <v>0.15072501029222321</v>
      </c>
      <c r="H34">
        <v>-0.43797506469634012</v>
      </c>
      <c r="I34">
        <v>-5.6045047537145148E-2</v>
      </c>
      <c r="J34">
        <v>-9.0011947559639621E-2</v>
      </c>
      <c r="K34">
        <v>0.17647898590147079</v>
      </c>
      <c r="L34">
        <v>0.21842522445462101</v>
      </c>
      <c r="M34">
        <v>0.2423625589095888</v>
      </c>
      <c r="N34">
        <v>-0.1138328736398334</v>
      </c>
      <c r="O34">
        <v>-0.35849570080448823</v>
      </c>
      <c r="P34">
        <v>0.47867156961646973</v>
      </c>
      <c r="Q34">
        <v>0.36714735436547469</v>
      </c>
      <c r="R34">
        <v>-0.28850540162069183</v>
      </c>
      <c r="S34">
        <v>-0.23469607465404699</v>
      </c>
      <c r="T34">
        <v>0.41452185372931372</v>
      </c>
      <c r="U34">
        <v>6.0130613841640278E-2</v>
      </c>
      <c r="V34">
        <v>-9.3248661719287154E-3</v>
      </c>
      <c r="W34">
        <v>0.31884348523699307</v>
      </c>
      <c r="X34">
        <v>-8.5348346340501473E-3</v>
      </c>
      <c r="Y34">
        <v>4.2831273498674417E-2</v>
      </c>
      <c r="Z34">
        <v>-0.28660665857030398</v>
      </c>
      <c r="AA34">
        <v>-0.74015284642686396</v>
      </c>
      <c r="AB34">
        <v>-1.105659252374035E-2</v>
      </c>
      <c r="AC34">
        <v>-0.54722488273842107</v>
      </c>
      <c r="AD34">
        <v>0.13781602317392699</v>
      </c>
      <c r="AE34">
        <v>0.37347356674662391</v>
      </c>
      <c r="AF34">
        <v>-0.21298390556398611</v>
      </c>
      <c r="AG34">
        <v>0.57306724593968006</v>
      </c>
      <c r="AH34">
        <v>-0.52279213531145685</v>
      </c>
      <c r="AI34">
        <v>0.29297629717300078</v>
      </c>
      <c r="AJ34">
        <v>-8.3638005037529189E-3</v>
      </c>
      <c r="AK34">
        <v>0.44196262864530539</v>
      </c>
      <c r="AL34">
        <v>-0.1115296881705346</v>
      </c>
      <c r="AM34">
        <v>-0.36281419912192342</v>
      </c>
      <c r="AN34">
        <v>0.69250429560561821</v>
      </c>
      <c r="AO34">
        <v>-0.18421718643091531</v>
      </c>
      <c r="AP34">
        <v>-1.1452018603164211E-2</v>
      </c>
      <c r="AQ34">
        <v>-6.5541328989686065E-2</v>
      </c>
      <c r="AR34">
        <v>-1.094899809740002</v>
      </c>
      <c r="AS34">
        <v>0.28044339105482519</v>
      </c>
      <c r="AT34">
        <v>-0.50814325114846437</v>
      </c>
      <c r="AU34">
        <v>-0.25669227466631062</v>
      </c>
      <c r="AV34">
        <v>0.39453866551351069</v>
      </c>
      <c r="AW34">
        <v>6.3821300248204996E-3</v>
      </c>
      <c r="AX34">
        <v>-0.26583978572655698</v>
      </c>
    </row>
    <row r="35" spans="1:50" x14ac:dyDescent="0.25">
      <c r="A35">
        <v>0.76991606388177047</v>
      </c>
      <c r="B35">
        <v>-2.2178882960161291E-4</v>
      </c>
      <c r="C35">
        <v>-0.27946946133308248</v>
      </c>
      <c r="D35">
        <v>-1.0933001208132511E-2</v>
      </c>
      <c r="E35">
        <v>-0.61935243514484273</v>
      </c>
      <c r="F35">
        <v>7.5704274885820252E-2</v>
      </c>
      <c r="G35">
        <v>0.2129270133106588</v>
      </c>
      <c r="H35">
        <v>-0.26143697836161472</v>
      </c>
      <c r="I35">
        <v>-0.39331625113812901</v>
      </c>
      <c r="J35">
        <v>0.41847422275626572</v>
      </c>
      <c r="K35">
        <v>-0.14590450436927099</v>
      </c>
      <c r="L35">
        <v>-0.82931138509352231</v>
      </c>
      <c r="M35">
        <v>0.44696509563464021</v>
      </c>
      <c r="N35">
        <v>-2.5447622247625291E-2</v>
      </c>
      <c r="O35">
        <v>-0.39096829966103008</v>
      </c>
      <c r="P35">
        <v>-7.2960363423935056E-3</v>
      </c>
      <c r="Q35">
        <v>0.21799970543814709</v>
      </c>
      <c r="R35">
        <v>0.16831500053616991</v>
      </c>
      <c r="S35">
        <v>-0.47149583989975902</v>
      </c>
      <c r="T35">
        <v>-0.63615313364349868</v>
      </c>
      <c r="U35">
        <v>-0.18191086741259571</v>
      </c>
      <c r="V35">
        <v>-5.5531880931505517E-2</v>
      </c>
      <c r="W35">
        <v>4.5471659005248402E-3</v>
      </c>
      <c r="X35">
        <v>-3.9778764771256733E-2</v>
      </c>
      <c r="Y35">
        <v>0.26833464972174081</v>
      </c>
      <c r="Z35">
        <v>1.9505064077054352E-2</v>
      </c>
      <c r="AA35">
        <v>-0.1326189732783104</v>
      </c>
      <c r="AB35">
        <v>-0.74916165528320033</v>
      </c>
      <c r="AC35">
        <v>0.11066664076027979</v>
      </c>
      <c r="AD35">
        <v>0.73193785734395023</v>
      </c>
      <c r="AE35">
        <v>0.40369190289700302</v>
      </c>
      <c r="AF35">
        <v>0.39904145979730282</v>
      </c>
      <c r="AG35">
        <v>2.1226772687575359E-2</v>
      </c>
      <c r="AH35">
        <v>-0.15734031312528321</v>
      </c>
      <c r="AI35">
        <v>-0.20537463614115481</v>
      </c>
      <c r="AJ35">
        <v>0.42774162682394162</v>
      </c>
      <c r="AK35">
        <v>-0.47678673424043372</v>
      </c>
      <c r="AL35">
        <v>-1.6108498853791431</v>
      </c>
      <c r="AM35">
        <v>-0.38903602609928251</v>
      </c>
      <c r="AN35">
        <v>0.36551216086379978</v>
      </c>
      <c r="AO35">
        <v>0.15699513597780729</v>
      </c>
      <c r="AP35">
        <v>1.9800184153027992E-2</v>
      </c>
      <c r="AQ35">
        <v>0.13709644668760171</v>
      </c>
      <c r="AR35">
        <v>9.9707304471671462E-2</v>
      </c>
      <c r="AS35">
        <v>5.8008017202399433E-2</v>
      </c>
      <c r="AT35">
        <v>-0.4132514428083876</v>
      </c>
      <c r="AU35">
        <v>-0.20550659722896561</v>
      </c>
      <c r="AV35">
        <v>-0.21928412758107579</v>
      </c>
      <c r="AW35">
        <v>3.7342345998326157E-2</v>
      </c>
      <c r="AX35">
        <v>3.7965645416207019E-2</v>
      </c>
    </row>
    <row r="36" spans="1:50" x14ac:dyDescent="0.25">
      <c r="A36">
        <v>0.63233127006789658</v>
      </c>
      <c r="B36">
        <v>7.2395492687455265E-2</v>
      </c>
      <c r="C36">
        <v>1.076445966912738</v>
      </c>
      <c r="D36">
        <v>-0.84257992597033426</v>
      </c>
      <c r="E36">
        <v>-0.40018102213179818</v>
      </c>
      <c r="F36">
        <v>6.1088214325787288E-2</v>
      </c>
      <c r="G36">
        <v>-0.29338730545402242</v>
      </c>
      <c r="H36">
        <v>-9.9246202832353775E-2</v>
      </c>
      <c r="I36">
        <v>-1.125809557819502</v>
      </c>
      <c r="J36">
        <v>-5.6487011756599183E-2</v>
      </c>
      <c r="K36">
        <v>-0.13163323472046731</v>
      </c>
      <c r="L36">
        <v>0.36627588894498692</v>
      </c>
      <c r="M36">
        <v>-1.2568932468423539</v>
      </c>
      <c r="N36">
        <v>0.1923202003903236</v>
      </c>
      <c r="O36">
        <v>-0.30049474335710669</v>
      </c>
      <c r="P36">
        <v>-0.19136642180068791</v>
      </c>
      <c r="Q36">
        <v>-0.29121332678488288</v>
      </c>
      <c r="R36">
        <v>0.22659734216401151</v>
      </c>
      <c r="S36">
        <v>-0.1334620859697023</v>
      </c>
      <c r="T36">
        <v>9.9453173712477264E-2</v>
      </c>
      <c r="U36">
        <v>0.33039975508646541</v>
      </c>
      <c r="V36">
        <v>0.38099598692228681</v>
      </c>
      <c r="W36">
        <v>-0.1154205274144183</v>
      </c>
      <c r="X36">
        <v>-0.36267351377098539</v>
      </c>
      <c r="Y36">
        <v>6.493764405892534E-2</v>
      </c>
      <c r="Z36">
        <v>-6.2500945899319968E-2</v>
      </c>
      <c r="AA36">
        <v>0.42484450359347598</v>
      </c>
      <c r="AB36">
        <v>0.27024106364651679</v>
      </c>
      <c r="AC36">
        <v>0.29236699409937661</v>
      </c>
      <c r="AD36">
        <v>0.54984205684534249</v>
      </c>
      <c r="AE36">
        <v>-0.50835879157290642</v>
      </c>
      <c r="AF36">
        <v>-9.6351723178562845E-2</v>
      </c>
      <c r="AG36">
        <v>-0.23268048182298989</v>
      </c>
      <c r="AH36">
        <v>-0.47656189286740758</v>
      </c>
      <c r="AI36">
        <v>-7.1193931813464228E-2</v>
      </c>
      <c r="AJ36">
        <v>-0.13072277536895299</v>
      </c>
      <c r="AK36">
        <v>-0.19895983217863791</v>
      </c>
      <c r="AL36">
        <v>0.41183970947484599</v>
      </c>
      <c r="AM36">
        <v>0.49192502920441361</v>
      </c>
      <c r="AN36">
        <v>0.32570557476104611</v>
      </c>
      <c r="AO36">
        <v>-0.43288173530903729</v>
      </c>
      <c r="AP36">
        <v>0.14693444239499079</v>
      </c>
      <c r="AQ36">
        <v>0.30030080080756277</v>
      </c>
      <c r="AR36">
        <v>0.29356679121848761</v>
      </c>
      <c r="AS36">
        <v>-2.9248602482824609E-2</v>
      </c>
      <c r="AT36">
        <v>0.34821049091158479</v>
      </c>
      <c r="AU36">
        <v>0.60975856876246526</v>
      </c>
      <c r="AV36">
        <v>-8.4169334546555424E-2</v>
      </c>
      <c r="AW36">
        <v>0.50641337042748713</v>
      </c>
      <c r="AX36">
        <v>2.4814452229282431E-2</v>
      </c>
    </row>
    <row r="37" spans="1:50" x14ac:dyDescent="0.25">
      <c r="A37">
        <v>0.58666645810467155</v>
      </c>
      <c r="B37">
        <v>0.51227737091885983</v>
      </c>
      <c r="C37">
        <v>-7.186221982417812E-2</v>
      </c>
      <c r="D37">
        <v>-0.1338682624643712</v>
      </c>
      <c r="E37">
        <v>-3.2267672318502368E-2</v>
      </c>
      <c r="F37">
        <v>0.34188417491779738</v>
      </c>
      <c r="G37">
        <v>0.1885007093887244</v>
      </c>
      <c r="H37">
        <v>-0.31755887361591922</v>
      </c>
      <c r="I37">
        <v>-0.17565663983778421</v>
      </c>
      <c r="J37">
        <v>-0.19294364968049429</v>
      </c>
      <c r="K37">
        <v>0.21235128207247639</v>
      </c>
      <c r="L37">
        <v>1.887636185524658E-2</v>
      </c>
      <c r="M37">
        <v>6.7539606229710003E-2</v>
      </c>
      <c r="N37">
        <v>9.7750467034971977E-2</v>
      </c>
      <c r="O37">
        <v>0.6771341501533783</v>
      </c>
      <c r="P37">
        <v>-0.32060908484457717</v>
      </c>
      <c r="Q37">
        <v>0.19714693417883081</v>
      </c>
      <c r="R37">
        <v>-0.78770806653803582</v>
      </c>
      <c r="S37">
        <v>0.28656045807450697</v>
      </c>
      <c r="T37">
        <v>-0.65108830264536799</v>
      </c>
      <c r="U37">
        <v>-0.65781313097240013</v>
      </c>
      <c r="V37">
        <v>-0.87122789287905544</v>
      </c>
      <c r="W37">
        <v>-0.20473588332620321</v>
      </c>
      <c r="X37">
        <v>-0.59011511450370768</v>
      </c>
      <c r="Y37">
        <v>0.51876811041549187</v>
      </c>
      <c r="Z37">
        <v>-3.091548769424509E-2</v>
      </c>
      <c r="AA37">
        <v>-0.92302555740875636</v>
      </c>
      <c r="AB37">
        <v>-0.21832952799567551</v>
      </c>
      <c r="AC37">
        <v>0.49232721544718228</v>
      </c>
      <c r="AD37">
        <v>-0.26332446638463508</v>
      </c>
      <c r="AE37">
        <v>0.32357125517014401</v>
      </c>
      <c r="AF37">
        <v>-4.57626641217991E-2</v>
      </c>
      <c r="AG37">
        <v>7.8208652439616819E-2</v>
      </c>
      <c r="AH37">
        <v>-0.35230304020947101</v>
      </c>
      <c r="AI37">
        <v>0.18412204602224269</v>
      </c>
      <c r="AJ37">
        <v>-2.3114625466523112E-2</v>
      </c>
      <c r="AK37">
        <v>-0.67423202064766408</v>
      </c>
      <c r="AL37">
        <v>-3.8320482008374908E-2</v>
      </c>
      <c r="AM37">
        <v>-6.8509269982758331E-2</v>
      </c>
      <c r="AN37">
        <v>0.1765012723754063</v>
      </c>
      <c r="AO37">
        <v>-0.29480949258736711</v>
      </c>
      <c r="AP37">
        <v>-0.1074038643443237</v>
      </c>
      <c r="AQ37">
        <v>-0.29374423600187649</v>
      </c>
      <c r="AR37">
        <v>-0.13350523629610811</v>
      </c>
      <c r="AS37">
        <v>-6.8545726327028924E-3</v>
      </c>
      <c r="AT37">
        <v>-0.65499813416651331</v>
      </c>
      <c r="AU37">
        <v>5.1472679005800888E-2</v>
      </c>
      <c r="AV37">
        <v>0.12046723033665239</v>
      </c>
      <c r="AW37">
        <v>0.30870899721510109</v>
      </c>
      <c r="AX37">
        <v>0.32306507202288309</v>
      </c>
    </row>
    <row r="38" spans="1:50" x14ac:dyDescent="0.25">
      <c r="A38">
        <v>0.24084804970725529</v>
      </c>
      <c r="B38">
        <v>0.29677339549304288</v>
      </c>
      <c r="C38">
        <v>0.33770983807623323</v>
      </c>
      <c r="D38">
        <v>-0.9271596010790315</v>
      </c>
      <c r="E38">
        <v>0.30137127674136288</v>
      </c>
      <c r="F38">
        <v>0.59969225402137238</v>
      </c>
      <c r="G38">
        <v>-7.2952010820380983E-2</v>
      </c>
      <c r="H38">
        <v>0.44642252773511742</v>
      </c>
      <c r="I38">
        <v>3.9326626719541069E-2</v>
      </c>
      <c r="J38">
        <v>-0.46228099483055052</v>
      </c>
      <c r="K38">
        <v>-0.19508682032633329</v>
      </c>
      <c r="L38">
        <v>-0.11278160813033231</v>
      </c>
      <c r="M38">
        <v>-0.2349748484613064</v>
      </c>
      <c r="N38">
        <v>-0.42729539760947371</v>
      </c>
      <c r="O38">
        <v>-0.39095720697746311</v>
      </c>
      <c r="P38">
        <v>0.54212706500236818</v>
      </c>
      <c r="Q38">
        <v>-0.23089351599387231</v>
      </c>
      <c r="R38">
        <v>0.23510399939382201</v>
      </c>
      <c r="S38">
        <v>-0.59398987779570589</v>
      </c>
      <c r="T38">
        <v>0.24693372331793739</v>
      </c>
      <c r="U38">
        <v>0.67942617424814367</v>
      </c>
      <c r="V38">
        <v>2.7634712218868589E-2</v>
      </c>
      <c r="W38">
        <v>-0.22987900504835149</v>
      </c>
      <c r="X38">
        <v>0.22964172511069439</v>
      </c>
      <c r="Y38">
        <v>-1.963130473188851E-2</v>
      </c>
      <c r="Z38">
        <v>0.19243345843179191</v>
      </c>
      <c r="AA38">
        <v>-1.108132371880763</v>
      </c>
      <c r="AB38">
        <v>-0.23289185887492719</v>
      </c>
      <c r="AC38">
        <v>-0.63012501150617117</v>
      </c>
      <c r="AD38">
        <v>-0.27367648474193318</v>
      </c>
      <c r="AE38">
        <v>-6.3013005659504934E-2</v>
      </c>
      <c r="AF38">
        <v>-0.27454419820226711</v>
      </c>
      <c r="AG38">
        <v>0.65093797696101607</v>
      </c>
      <c r="AH38">
        <v>-0.15128012136434721</v>
      </c>
      <c r="AI38">
        <v>-0.15639856779392089</v>
      </c>
      <c r="AJ38">
        <v>0.51212892348138472</v>
      </c>
      <c r="AK38">
        <v>0.2375566633198416</v>
      </c>
      <c r="AL38">
        <v>-0.66851457871090014</v>
      </c>
      <c r="AM38">
        <v>-0.18299328521170849</v>
      </c>
      <c r="AN38">
        <v>-8.9026532218228916E-3</v>
      </c>
      <c r="AO38">
        <v>-9.5355548542292154E-2</v>
      </c>
      <c r="AP38">
        <v>-6.7960789388716011E-2</v>
      </c>
      <c r="AQ38">
        <v>-0.2345545586577433</v>
      </c>
      <c r="AR38">
        <v>-0.63740863298385253</v>
      </c>
      <c r="AS38">
        <v>-7.0383949166156382E-2</v>
      </c>
      <c r="AT38">
        <v>6.6287404836586988E-2</v>
      </c>
      <c r="AU38">
        <v>0.13510332296882011</v>
      </c>
      <c r="AV38">
        <v>-3.3853660535750563E-2</v>
      </c>
      <c r="AW38">
        <v>-0.29179144035623239</v>
      </c>
      <c r="AX38">
        <v>0.12897805699015061</v>
      </c>
    </row>
    <row r="39" spans="1:50" x14ac:dyDescent="0.25">
      <c r="A39">
        <v>-0.2146860615570963</v>
      </c>
      <c r="B39">
        <v>-0.31267064953511081</v>
      </c>
      <c r="C39">
        <v>-0.12678026763227959</v>
      </c>
      <c r="D39">
        <v>-0.65842795858612346</v>
      </c>
      <c r="E39">
        <v>0.16246598623867561</v>
      </c>
      <c r="F39">
        <v>-1.426922128032174</v>
      </c>
      <c r="G39">
        <v>0.1733454834813149</v>
      </c>
      <c r="H39">
        <v>-0.20657534694443991</v>
      </c>
      <c r="I39">
        <v>-0.50618855598257262</v>
      </c>
      <c r="J39">
        <v>0.22542876951782781</v>
      </c>
      <c r="K39">
        <v>-1.501915537314423E-2</v>
      </c>
      <c r="L39">
        <v>0.19981841585851451</v>
      </c>
      <c r="M39">
        <v>0.65433899583823474</v>
      </c>
      <c r="N39">
        <v>-0.30642470447547299</v>
      </c>
      <c r="O39">
        <v>0.2020123422335959</v>
      </c>
      <c r="P39">
        <v>0.21282503620967769</v>
      </c>
      <c r="Q39">
        <v>-0.30303240296522738</v>
      </c>
      <c r="R39">
        <v>-0.46063831724988791</v>
      </c>
      <c r="S39">
        <v>0.67760945143781337</v>
      </c>
      <c r="T39">
        <v>3.6588103206267861E-2</v>
      </c>
      <c r="U39">
        <v>0.64448310112746943</v>
      </c>
      <c r="V39">
        <v>-0.90631999528441809</v>
      </c>
      <c r="W39">
        <v>0.12203277800317749</v>
      </c>
      <c r="X39">
        <v>0.31987829551110047</v>
      </c>
      <c r="Y39">
        <v>0.148483022135694</v>
      </c>
      <c r="Z39">
        <v>-0.64177847053281356</v>
      </c>
      <c r="AA39">
        <v>7.4382507033548831E-2</v>
      </c>
      <c r="AB39">
        <v>0.1157893165341998</v>
      </c>
      <c r="AC39">
        <v>-0.35257178765341629</v>
      </c>
      <c r="AD39">
        <v>-0.68901317757257974</v>
      </c>
      <c r="AE39">
        <v>0.62196443073006968</v>
      </c>
      <c r="AF39">
        <v>1.109838182628166E-2</v>
      </c>
      <c r="AG39">
        <v>0.26145401225885279</v>
      </c>
      <c r="AH39">
        <v>-0.53339609570820135</v>
      </c>
      <c r="AI39">
        <v>-0.23326957025716419</v>
      </c>
      <c r="AJ39">
        <v>0.10553003322564621</v>
      </c>
      <c r="AK39">
        <v>-0.1018002980735128</v>
      </c>
      <c r="AL39">
        <v>0.55534988917699568</v>
      </c>
      <c r="AM39">
        <v>-2.2503487517280339E-2</v>
      </c>
      <c r="AN39">
        <v>-0.54428495374242269</v>
      </c>
      <c r="AO39">
        <v>-3.9051609414277162E-2</v>
      </c>
      <c r="AP39">
        <v>-4.7613150492322009E-2</v>
      </c>
      <c r="AQ39">
        <v>-0.14228814018632421</v>
      </c>
      <c r="AR39">
        <v>-0.90837691664494291</v>
      </c>
      <c r="AS39">
        <v>0.26019385967823849</v>
      </c>
      <c r="AT39">
        <v>-0.30911097040632229</v>
      </c>
      <c r="AU39">
        <v>-0.38874810165003332</v>
      </c>
      <c r="AV39">
        <v>0.36824477015768431</v>
      </c>
      <c r="AW39">
        <v>5.9956527417257856E-3</v>
      </c>
      <c r="AX39">
        <v>-0.52275381214760119</v>
      </c>
    </row>
    <row r="40" spans="1:50" x14ac:dyDescent="0.25">
      <c r="A40">
        <v>-0.52717740214791853</v>
      </c>
      <c r="B40">
        <v>-6.7507596746893592E-2</v>
      </c>
      <c r="C40">
        <v>-4.2554843847860672E-2</v>
      </c>
      <c r="D40">
        <v>-0.30479064263582611</v>
      </c>
      <c r="E40">
        <v>2.4053480368442182E-2</v>
      </c>
      <c r="F40">
        <v>0.52195669806576994</v>
      </c>
      <c r="G40">
        <v>-0.53120760888828522</v>
      </c>
      <c r="H40">
        <v>0.73410176534249039</v>
      </c>
      <c r="I40">
        <v>0.78012404619587294</v>
      </c>
      <c r="J40">
        <v>-0.76093118570973517</v>
      </c>
      <c r="K40">
        <v>-0.21724996660907259</v>
      </c>
      <c r="L40">
        <v>0.42870981625047838</v>
      </c>
      <c r="M40">
        <v>-1.4043486929498821</v>
      </c>
      <c r="N40">
        <v>9.683411082734239E-2</v>
      </c>
      <c r="O40">
        <v>-0.2638201654456514</v>
      </c>
      <c r="P40">
        <v>0.18796615139487091</v>
      </c>
      <c r="Q40">
        <v>0.75326107026207323</v>
      </c>
      <c r="R40">
        <v>-2.4022618018480289E-2</v>
      </c>
      <c r="S40">
        <v>1.280787886397184E-2</v>
      </c>
      <c r="T40">
        <v>-4.3214437591903951E-2</v>
      </c>
      <c r="U40">
        <v>-0.39372363004143002</v>
      </c>
      <c r="V40">
        <v>0.71223866713716744</v>
      </c>
      <c r="W40">
        <v>-0.44783855564954678</v>
      </c>
      <c r="X40">
        <v>-0.1066855365883502</v>
      </c>
      <c r="Y40">
        <v>-0.27090355586583847</v>
      </c>
      <c r="Z40">
        <v>-0.74954421387950587</v>
      </c>
      <c r="AA40">
        <v>-0.23954491453950541</v>
      </c>
      <c r="AB40">
        <v>5.1415978104151112E-2</v>
      </c>
      <c r="AC40">
        <v>-2.7573873843599168E-2</v>
      </c>
      <c r="AD40">
        <v>0.1727672837617554</v>
      </c>
      <c r="AE40">
        <v>4.216868824302495E-2</v>
      </c>
      <c r="AF40">
        <v>-8.9162330656437694E-2</v>
      </c>
      <c r="AG40">
        <v>-4.0284396170855989E-2</v>
      </c>
      <c r="AH40">
        <v>-8.2402425069200078E-2</v>
      </c>
      <c r="AI40">
        <v>-6.4912883029957208E-2</v>
      </c>
      <c r="AJ40">
        <v>-0.16706788812052109</v>
      </c>
      <c r="AK40">
        <v>0.38649053907069691</v>
      </c>
      <c r="AL40">
        <v>-0.51763746266850752</v>
      </c>
      <c r="AM40">
        <v>-0.46719838949470582</v>
      </c>
      <c r="AN40">
        <v>1.064418450573743E-2</v>
      </c>
      <c r="AO40">
        <v>0.53870710052240112</v>
      </c>
      <c r="AP40">
        <v>-0.53754082616027676</v>
      </c>
      <c r="AQ40">
        <v>0.25722187542766561</v>
      </c>
      <c r="AR40">
        <v>-0.66041015955668669</v>
      </c>
      <c r="AS40">
        <v>0.44987520404068593</v>
      </c>
      <c r="AT40">
        <v>-1.9640191256134799E-2</v>
      </c>
      <c r="AU40">
        <v>0.15967930476351941</v>
      </c>
      <c r="AV40">
        <v>-1.0121663079466801</v>
      </c>
      <c r="AW40">
        <v>-0.47148129354530388</v>
      </c>
      <c r="AX40">
        <v>-0.75032663197729499</v>
      </c>
    </row>
    <row r="41" spans="1:50" x14ac:dyDescent="0.25">
      <c r="A41">
        <v>-0.81016560293726536</v>
      </c>
      <c r="B41">
        <v>-0.10999205414411541</v>
      </c>
      <c r="C41">
        <v>0.24647540258532241</v>
      </c>
      <c r="D41">
        <v>0.1295389308574777</v>
      </c>
      <c r="E41">
        <v>-0.36962678815427891</v>
      </c>
      <c r="F41">
        <v>0.44296534124872278</v>
      </c>
      <c r="G41">
        <v>9.5382694123346337E-2</v>
      </c>
      <c r="H41">
        <v>0.15880703728105541</v>
      </c>
      <c r="I41">
        <v>-0.35193436037090081</v>
      </c>
      <c r="J41">
        <v>-0.75430287429082898</v>
      </c>
      <c r="K41">
        <v>0.24707578647943881</v>
      </c>
      <c r="L41">
        <v>-0.72973256946618881</v>
      </c>
      <c r="M41">
        <v>2.1544382192526631E-2</v>
      </c>
      <c r="N41">
        <v>-0.90205258515085629</v>
      </c>
      <c r="O41">
        <v>0.25680955412445039</v>
      </c>
      <c r="P41">
        <v>-0.2060955156480912</v>
      </c>
      <c r="Q41">
        <v>-4.9107665562596027E-2</v>
      </c>
      <c r="R41">
        <v>-0.68870068840983456</v>
      </c>
      <c r="S41">
        <v>4.9928820643915767E-2</v>
      </c>
      <c r="T41">
        <v>0.15274246155088439</v>
      </c>
      <c r="U41">
        <v>-1.2295728680301011E-2</v>
      </c>
      <c r="V41">
        <v>0.18740464632892109</v>
      </c>
      <c r="W41">
        <v>0.54834057983831785</v>
      </c>
      <c r="X41">
        <v>-0.32545691817088701</v>
      </c>
      <c r="Y41">
        <v>-0.25941836850018479</v>
      </c>
      <c r="Z41">
        <v>0.21847388595121589</v>
      </c>
      <c r="AA41">
        <v>0.32710818466351049</v>
      </c>
      <c r="AB41">
        <v>7.8725102005427539E-2</v>
      </c>
      <c r="AC41">
        <v>0.23280474851321201</v>
      </c>
      <c r="AD41">
        <v>0.14429734468200281</v>
      </c>
      <c r="AE41">
        <v>-0.48664959897279442</v>
      </c>
      <c r="AF41">
        <v>8.3886711661752392E-2</v>
      </c>
      <c r="AG41">
        <v>7.8115970034623242E-2</v>
      </c>
      <c r="AH41">
        <v>0.70253120261965318</v>
      </c>
      <c r="AI41">
        <v>-0.42233488498857941</v>
      </c>
      <c r="AJ41">
        <v>0.56615239204583157</v>
      </c>
      <c r="AK41">
        <v>0.32932801304930398</v>
      </c>
      <c r="AL41">
        <v>-0.27656133320185711</v>
      </c>
      <c r="AM41">
        <v>-0.62447095308507972</v>
      </c>
      <c r="AN41">
        <v>-0.43370964825053099</v>
      </c>
      <c r="AO41">
        <v>0.37178649061940489</v>
      </c>
      <c r="AP41">
        <v>0.23235627038468901</v>
      </c>
      <c r="AQ41">
        <v>0.12634946741717271</v>
      </c>
      <c r="AR41">
        <v>-0.13684707525668199</v>
      </c>
      <c r="AS41">
        <v>0.94451219192887426</v>
      </c>
      <c r="AT41">
        <v>0.20410990377072999</v>
      </c>
      <c r="AU41">
        <v>-4.0574890158961013E-2</v>
      </c>
      <c r="AV41">
        <v>0.1057189474030733</v>
      </c>
      <c r="AW41">
        <v>-0.60566875576724155</v>
      </c>
      <c r="AX41">
        <v>2.5210872207293469E-2</v>
      </c>
    </row>
    <row r="42" spans="1:50" x14ac:dyDescent="0.25">
      <c r="A42">
        <v>4.7066798137860133E-2</v>
      </c>
      <c r="B42">
        <v>-0.68147196838640589</v>
      </c>
      <c r="C42">
        <v>-0.1038597972029888</v>
      </c>
      <c r="D42">
        <v>-9.275935513771294E-2</v>
      </c>
      <c r="E42">
        <v>0.55140998436785993</v>
      </c>
      <c r="F42">
        <v>-0.38374148981529621</v>
      </c>
      <c r="G42">
        <v>1.947448141748202E-2</v>
      </c>
      <c r="H42">
        <v>-6.8598142343201302E-2</v>
      </c>
      <c r="I42">
        <v>0.25792686978212409</v>
      </c>
      <c r="J42">
        <v>-4.0657290598922327E-2</v>
      </c>
      <c r="K42">
        <v>0.28236020224034097</v>
      </c>
      <c r="L42">
        <v>-1.175972977580434</v>
      </c>
      <c r="M42">
        <v>-0.189954887344781</v>
      </c>
      <c r="N42">
        <v>0.17761413446014301</v>
      </c>
      <c r="O42">
        <v>-0.91060498381658128</v>
      </c>
      <c r="P42">
        <v>0.67401995907941348</v>
      </c>
      <c r="Q42">
        <v>-0.78133813412535369</v>
      </c>
      <c r="R42">
        <v>-0.88715707013398215</v>
      </c>
      <c r="S42">
        <v>-0.5606911152275238</v>
      </c>
      <c r="T42">
        <v>-3.8179034812069197E-2</v>
      </c>
      <c r="U42">
        <v>-0.2378909296965096</v>
      </c>
      <c r="V42">
        <v>-0.12654419492377919</v>
      </c>
      <c r="W42">
        <v>0.2645889476240515</v>
      </c>
      <c r="X42">
        <v>0.80546616384292247</v>
      </c>
      <c r="Y42">
        <v>-0.63469846777403216</v>
      </c>
      <c r="Z42">
        <v>0.2200893464991594</v>
      </c>
      <c r="AA42">
        <v>0.24100715378295229</v>
      </c>
      <c r="AB42">
        <v>0.30587463515255608</v>
      </c>
      <c r="AC42">
        <v>0.56895288105575026</v>
      </c>
      <c r="AD42">
        <v>3.8097587320734858E-2</v>
      </c>
      <c r="AE42">
        <v>-0.93897615930849676</v>
      </c>
      <c r="AF42">
        <v>-0.3450448844499962</v>
      </c>
      <c r="AG42">
        <v>-0.27403406518184259</v>
      </c>
      <c r="AH42">
        <v>0.2467330380481714</v>
      </c>
      <c r="AI42">
        <v>-0.42179503559928899</v>
      </c>
      <c r="AJ42">
        <v>0.38457540586011529</v>
      </c>
      <c r="AK42">
        <v>-0.28863455149655137</v>
      </c>
      <c r="AL42">
        <v>8.6015498971053136E-2</v>
      </c>
      <c r="AM42">
        <v>-0.17893777759300469</v>
      </c>
      <c r="AN42">
        <v>-0.125431647724457</v>
      </c>
      <c r="AO42">
        <v>0.10310927545367091</v>
      </c>
      <c r="AP42">
        <v>0.74910940465791986</v>
      </c>
      <c r="AQ42">
        <v>-0.57354882964333653</v>
      </c>
      <c r="AR42">
        <v>2.1667668018770639E-2</v>
      </c>
      <c r="AS42">
        <v>6.2987689292241564E-2</v>
      </c>
      <c r="AT42">
        <v>-0.45966788511828821</v>
      </c>
      <c r="AU42">
        <v>0.20425030262759261</v>
      </c>
      <c r="AV42">
        <v>-0.23541212709227191</v>
      </c>
      <c r="AW42">
        <v>-0.18746969437423339</v>
      </c>
      <c r="AX42">
        <v>-3.4695447138120561E-2</v>
      </c>
    </row>
    <row r="43" spans="1:50" x14ac:dyDescent="0.25">
      <c r="A43">
        <v>-7.1003668111182763E-2</v>
      </c>
      <c r="B43">
        <v>-0.19319155697556689</v>
      </c>
      <c r="C43">
        <v>-0.1705425294734543</v>
      </c>
      <c r="D43">
        <v>0.41429764232651001</v>
      </c>
      <c r="E43">
        <v>0.22860560613047251</v>
      </c>
      <c r="F43">
        <v>5.2578460620699159E-2</v>
      </c>
      <c r="G43">
        <v>0.34870010422370717</v>
      </c>
      <c r="H43">
        <v>0.29700216458309531</v>
      </c>
      <c r="I43">
        <v>-0.3261673014365653</v>
      </c>
      <c r="J43">
        <v>0.26049370070797412</v>
      </c>
      <c r="K43">
        <v>0.120048611548595</v>
      </c>
      <c r="L43">
        <v>-0.8213259075738627</v>
      </c>
      <c r="M43">
        <v>-0.50433681155027166</v>
      </c>
      <c r="N43">
        <v>0.27850246227742581</v>
      </c>
      <c r="O43">
        <v>0.29286286764979069</v>
      </c>
      <c r="P43">
        <v>0.1892793297219113</v>
      </c>
      <c r="Q43">
        <v>-0.2274711942997138</v>
      </c>
      <c r="R43">
        <v>0.1930861246291132</v>
      </c>
      <c r="S43">
        <v>-8.771554495515714E-2</v>
      </c>
      <c r="T43">
        <v>-0.22763690624535429</v>
      </c>
      <c r="U43">
        <v>4.3003176977321457E-2</v>
      </c>
      <c r="V43">
        <v>0.22509575353921699</v>
      </c>
      <c r="W43">
        <v>0.22154706332712951</v>
      </c>
      <c r="X43">
        <v>0.52986745216013265</v>
      </c>
      <c r="Y43">
        <v>0.31450725658739259</v>
      </c>
      <c r="Z43">
        <v>4.4438459188301638E-2</v>
      </c>
      <c r="AA43">
        <v>0.22951392141360119</v>
      </c>
      <c r="AB43">
        <v>0.46693550279609197</v>
      </c>
      <c r="AC43">
        <v>-0.3513561287332333</v>
      </c>
      <c r="AD43">
        <v>0.14789316294396759</v>
      </c>
      <c r="AE43">
        <v>-0.85699281190528864</v>
      </c>
      <c r="AF43">
        <v>0.21681175830138091</v>
      </c>
      <c r="AG43">
        <v>-0.54382771174452871</v>
      </c>
      <c r="AH43">
        <v>0.42111327867631237</v>
      </c>
      <c r="AI43">
        <v>0.20076699407637261</v>
      </c>
      <c r="AJ43">
        <v>0.30043482843602581</v>
      </c>
      <c r="AK43">
        <v>-0.38154853836631508</v>
      </c>
      <c r="AL43">
        <v>0.3565806288509657</v>
      </c>
      <c r="AM43">
        <v>-0.46990791479902411</v>
      </c>
      <c r="AN43">
        <v>9.7147310524683297E-2</v>
      </c>
      <c r="AO43">
        <v>0.44058796771549202</v>
      </c>
      <c r="AP43">
        <v>0.3429325258165663</v>
      </c>
      <c r="AQ43">
        <v>0.57932134203602315</v>
      </c>
      <c r="AR43">
        <v>-0.20475779882169709</v>
      </c>
      <c r="AS43">
        <v>-0.1546494757401656</v>
      </c>
      <c r="AT43">
        <v>0.1273817725066001</v>
      </c>
      <c r="AU43">
        <v>-0.28717622147253102</v>
      </c>
      <c r="AV43">
        <v>-1.5267808009507431</v>
      </c>
      <c r="AW43">
        <v>0.12636259138912939</v>
      </c>
      <c r="AX43">
        <v>0.47051487996716379</v>
      </c>
    </row>
    <row r="44" spans="1:50" x14ac:dyDescent="0.25">
      <c r="A44">
        <v>-8.1391997651425213E-2</v>
      </c>
      <c r="B44">
        <v>-0.20538872624938689</v>
      </c>
      <c r="C44">
        <v>0.16411448186353919</v>
      </c>
      <c r="D44">
        <v>0.2031198845246947</v>
      </c>
      <c r="E44">
        <v>-0.74565905448340386</v>
      </c>
      <c r="F44">
        <v>0.2926175610392262</v>
      </c>
      <c r="G44">
        <v>-0.60166962174883543</v>
      </c>
      <c r="H44">
        <v>0.22846916488404309</v>
      </c>
      <c r="I44">
        <v>0.35541566155132309</v>
      </c>
      <c r="J44">
        <v>-0.1439574152483277</v>
      </c>
      <c r="K44">
        <v>-3.0844503828810561E-2</v>
      </c>
      <c r="L44">
        <v>-0.1939914244990085</v>
      </c>
      <c r="M44">
        <v>-0.48279646274809501</v>
      </c>
      <c r="N44">
        <v>9.8908246148322623E-2</v>
      </c>
      <c r="O44">
        <v>3.0404646861267721E-2</v>
      </c>
      <c r="P44">
        <v>0.26328793027680092</v>
      </c>
      <c r="Q44">
        <v>0.21117105869534439</v>
      </c>
      <c r="R44">
        <v>-0.16918214772948231</v>
      </c>
      <c r="S44">
        <v>0.37496651155393329</v>
      </c>
      <c r="T44">
        <v>3.030117039511147E-2</v>
      </c>
      <c r="U44">
        <v>-0.1171687687843157</v>
      </c>
      <c r="V44">
        <v>0.1262872416886055</v>
      </c>
      <c r="W44">
        <v>0.19821830228130469</v>
      </c>
      <c r="X44">
        <v>-1.5130036827331699E-2</v>
      </c>
      <c r="Y44">
        <v>0.1002871034637436</v>
      </c>
      <c r="Z44">
        <v>0.2021703606203839</v>
      </c>
      <c r="AA44">
        <v>5.3180476635303127E-2</v>
      </c>
      <c r="AB44">
        <v>-0.24472707663085669</v>
      </c>
      <c r="AC44">
        <v>-0.1131096032720222</v>
      </c>
      <c r="AD44">
        <v>0.25026149578736961</v>
      </c>
      <c r="AE44">
        <v>0.20273662840433981</v>
      </c>
      <c r="AF44">
        <v>-0.44471824369709739</v>
      </c>
      <c r="AG44">
        <v>-0.38357028367157731</v>
      </c>
      <c r="AH44">
        <v>-1.142735447307223E-2</v>
      </c>
      <c r="AI44">
        <v>-0.20693290752306581</v>
      </c>
      <c r="AJ44">
        <v>0.18464758695308189</v>
      </c>
      <c r="AK44">
        <v>-0.12720513029315991</v>
      </c>
      <c r="AL44">
        <v>0.13461175173053239</v>
      </c>
      <c r="AM44">
        <v>-9.6784915635935082E-2</v>
      </c>
      <c r="AN44">
        <v>7.2368114775985593E-2</v>
      </c>
      <c r="AO44">
        <v>-0.2890284984564257</v>
      </c>
      <c r="AP44">
        <v>0.17038008583337791</v>
      </c>
      <c r="AQ44">
        <v>0.27247118547748178</v>
      </c>
      <c r="AR44">
        <v>0.66771395525790578</v>
      </c>
      <c r="AS44">
        <v>-0.33862393210032549</v>
      </c>
      <c r="AT44">
        <v>0.1068375959456678</v>
      </c>
      <c r="AU44">
        <v>-0.50882053627384627</v>
      </c>
      <c r="AV44">
        <v>0.17690368214408889</v>
      </c>
      <c r="AW44">
        <v>0.18018528450705901</v>
      </c>
      <c r="AX44">
        <v>-0.1226148644012718</v>
      </c>
    </row>
    <row r="45" spans="1:50" x14ac:dyDescent="0.25">
      <c r="A45">
        <v>-1.2637047404146061E-2</v>
      </c>
      <c r="B45">
        <v>-1.7693977871703459E-2</v>
      </c>
      <c r="C45">
        <v>-0.1300212304465902</v>
      </c>
      <c r="D45">
        <v>-0.172012634157404</v>
      </c>
      <c r="E45">
        <v>-2.1834989070764671E-2</v>
      </c>
      <c r="F45">
        <v>4.0467253366878397E-2</v>
      </c>
      <c r="G45">
        <v>-0.2262169737993194</v>
      </c>
      <c r="H45">
        <v>6.1933352818703158E-2</v>
      </c>
      <c r="I45">
        <v>-0.2202520065108057</v>
      </c>
      <c r="J45">
        <v>0.27974902035916038</v>
      </c>
      <c r="K45">
        <v>4.7406580144837361E-2</v>
      </c>
      <c r="L45">
        <v>-0.161562032738266</v>
      </c>
      <c r="M45">
        <v>-0.28474930690689948</v>
      </c>
      <c r="N45">
        <v>-5.9191717360243569E-2</v>
      </c>
      <c r="O45">
        <v>6.5046690484492709E-3</v>
      </c>
      <c r="P45">
        <v>-9.4716163383784344E-2</v>
      </c>
      <c r="Q45">
        <v>-0.2259744823550138</v>
      </c>
      <c r="R45">
        <v>-2.5438890442213799E-2</v>
      </c>
      <c r="S45">
        <v>0.33832253572372728</v>
      </c>
      <c r="T45">
        <v>-0.24342575720229931</v>
      </c>
      <c r="U45">
        <v>-0.1200219701901559</v>
      </c>
      <c r="V45">
        <v>-3.4443042291005643E-2</v>
      </c>
      <c r="W45">
        <v>-0.1203202664618936</v>
      </c>
      <c r="X45">
        <v>-4.316260835516951E-2</v>
      </c>
      <c r="Y45">
        <v>-2.6624903046994421E-2</v>
      </c>
      <c r="Z45">
        <v>-6.156078138465599E-2</v>
      </c>
      <c r="AA45">
        <v>-0.1301344851806055</v>
      </c>
      <c r="AB45">
        <v>7.8303867642022637E-4</v>
      </c>
      <c r="AC45">
        <v>-8.6160811924374414E-2</v>
      </c>
      <c r="AD45">
        <v>0.20805212975112591</v>
      </c>
      <c r="AE45">
        <v>-1.359435480517451E-2</v>
      </c>
      <c r="AF45">
        <v>-0.30240993408272432</v>
      </c>
      <c r="AG45">
        <v>0.1397564771861694</v>
      </c>
      <c r="AH45">
        <v>4.7384958515850673E-2</v>
      </c>
      <c r="AI45">
        <v>-7.2286859081830454E-2</v>
      </c>
      <c r="AJ45">
        <v>0.11672097653418891</v>
      </c>
      <c r="AK45">
        <v>-5.3228839492209641E-2</v>
      </c>
      <c r="AL45">
        <v>7.8427018010262889E-2</v>
      </c>
      <c r="AM45">
        <v>-0.22819803068449221</v>
      </c>
      <c r="AN45">
        <v>-0.23328576266416889</v>
      </c>
      <c r="AO45">
        <v>-0.21164514964019909</v>
      </c>
      <c r="AP45">
        <v>-0.15176600482494981</v>
      </c>
      <c r="AQ45">
        <v>-0.10947925278864271</v>
      </c>
      <c r="AR45">
        <v>-4.8530725960365582E-2</v>
      </c>
      <c r="AS45">
        <v>4.0402732533706132E-3</v>
      </c>
      <c r="AT45">
        <v>3.7467455576418868E-2</v>
      </c>
      <c r="AU45">
        <v>4.9699399150845827E-2</v>
      </c>
      <c r="AV45">
        <v>-0.1028638330504531</v>
      </c>
      <c r="AW45">
        <v>-0.25573003776172609</v>
      </c>
      <c r="AX45">
        <v>2.2308374789084848E-2</v>
      </c>
    </row>
    <row r="46" spans="1:50" x14ac:dyDescent="0.25">
      <c r="A46">
        <v>-0.30158031967750393</v>
      </c>
      <c r="B46">
        <v>-8.2898599444779314E-2</v>
      </c>
      <c r="C46">
        <v>-1.500881692714906E-2</v>
      </c>
      <c r="D46">
        <v>0.4560934224169837</v>
      </c>
      <c r="E46">
        <v>2.1326597703097409E-2</v>
      </c>
      <c r="F46">
        <v>-1.237812835745322E-2</v>
      </c>
      <c r="G46">
        <v>-7.0249671755975185E-2</v>
      </c>
      <c r="H46">
        <v>-0.22356121281585609</v>
      </c>
      <c r="I46">
        <v>-0.2164233896266459</v>
      </c>
      <c r="J46">
        <v>0.20809881544942949</v>
      </c>
      <c r="K46">
        <v>7.1040003569488461E-2</v>
      </c>
      <c r="L46">
        <v>-0.32385103321760977</v>
      </c>
      <c r="M46">
        <v>-4.5229877824481991E-2</v>
      </c>
      <c r="N46">
        <v>-0.20894615482693629</v>
      </c>
      <c r="O46">
        <v>0.1435966487181865</v>
      </c>
      <c r="P46">
        <v>-0.1980992816932855</v>
      </c>
      <c r="Q46">
        <v>-0.17062058178956799</v>
      </c>
      <c r="R46">
        <v>-6.9196965402960844E-2</v>
      </c>
      <c r="S46">
        <v>-0.14838876367465281</v>
      </c>
      <c r="T46">
        <v>0.1217322349324961</v>
      </c>
      <c r="U46">
        <v>-0.13749914378688491</v>
      </c>
      <c r="V46">
        <v>6.9116232657020979E-2</v>
      </c>
      <c r="W46">
        <v>-9.3810372741799403E-2</v>
      </c>
      <c r="X46">
        <v>-2.2558140327869829E-2</v>
      </c>
      <c r="Y46">
        <v>-0.28385800663229399</v>
      </c>
      <c r="Z46">
        <v>-0.25382024836124351</v>
      </c>
      <c r="AA46">
        <v>-0.21646394104623759</v>
      </c>
      <c r="AB46">
        <v>-0.24067644283910941</v>
      </c>
      <c r="AC46">
        <v>-0.10961896002432971</v>
      </c>
      <c r="AD46">
        <v>-0.1790757207341315</v>
      </c>
      <c r="AE46">
        <v>-0.2351729874493442</v>
      </c>
      <c r="AF46">
        <v>-0.1770522822268964</v>
      </c>
      <c r="AG46">
        <v>-0.19877316682940099</v>
      </c>
      <c r="AH46">
        <v>0.13404418515320901</v>
      </c>
      <c r="AI46">
        <v>-0.2006400348983024</v>
      </c>
      <c r="AJ46">
        <v>-5.939396459866195E-3</v>
      </c>
      <c r="AK46">
        <v>4.3094427248381176E-3</v>
      </c>
      <c r="AL46">
        <v>-0.28861004127568451</v>
      </c>
      <c r="AM46">
        <v>-0.1115184341390823</v>
      </c>
      <c r="AN46">
        <v>-0.1970847433648725</v>
      </c>
      <c r="AO46">
        <v>-0.29707701262857811</v>
      </c>
      <c r="AP46">
        <v>-0.120186519317534</v>
      </c>
      <c r="AQ46">
        <v>0.15532912096451729</v>
      </c>
      <c r="AR46">
        <v>-9.3979413322975887E-3</v>
      </c>
      <c r="AS46">
        <v>-0.1799540749368691</v>
      </c>
      <c r="AT46">
        <v>-0.1188538568815542</v>
      </c>
      <c r="AU46">
        <v>-0.17266470903914141</v>
      </c>
      <c r="AV46">
        <v>-0.1068694760319554</v>
      </c>
      <c r="AW46">
        <v>-6.4665372495256085E-2</v>
      </c>
      <c r="AX46">
        <v>2.0507977705353779E-2</v>
      </c>
    </row>
    <row r="47" spans="1:50" x14ac:dyDescent="0.25">
      <c r="A47">
        <v>2.500905322563993E-2</v>
      </c>
      <c r="B47">
        <v>-0.2088750786077368</v>
      </c>
      <c r="C47">
        <v>-0.17610459339666201</v>
      </c>
      <c r="D47">
        <v>-0.1009874913581633</v>
      </c>
      <c r="E47">
        <v>0.15086848553650681</v>
      </c>
      <c r="F47">
        <v>-3.4977697366418502E-2</v>
      </c>
      <c r="G47">
        <v>-4.9665125624655873E-2</v>
      </c>
      <c r="H47">
        <v>-0.29150690324610917</v>
      </c>
      <c r="I47">
        <v>3.1517075607731593E-2</v>
      </c>
      <c r="J47">
        <v>-0.18748069444599469</v>
      </c>
      <c r="K47">
        <v>0.14714017877921931</v>
      </c>
      <c r="L47">
        <v>-9.9175993605004911E-2</v>
      </c>
      <c r="M47">
        <v>-6.8429860373697443E-2</v>
      </c>
      <c r="N47">
        <v>0.1567195488853548</v>
      </c>
      <c r="O47">
        <v>0.14427130561140239</v>
      </c>
      <c r="P47">
        <v>-0.22271946660842509</v>
      </c>
      <c r="Q47">
        <v>-0.1610103306807637</v>
      </c>
      <c r="R47">
        <v>-0.18933930400246271</v>
      </c>
      <c r="S47">
        <v>0.17427995578132471</v>
      </c>
      <c r="T47">
        <v>-0.1012959621217762</v>
      </c>
      <c r="U47">
        <v>-8.2131069541426599E-2</v>
      </c>
      <c r="V47">
        <v>0.16403068969420909</v>
      </c>
      <c r="W47">
        <v>8.4595406261115558E-2</v>
      </c>
      <c r="X47">
        <v>-0.10257609630559281</v>
      </c>
      <c r="Y47">
        <v>-6.7816793503753983E-2</v>
      </c>
      <c r="Z47">
        <v>0.32124290964188051</v>
      </c>
      <c r="AA47">
        <v>-0.2128967303226566</v>
      </c>
      <c r="AB47">
        <v>-0.28118832302523639</v>
      </c>
      <c r="AC47">
        <v>-9.8313407110884862E-2</v>
      </c>
      <c r="AD47">
        <v>-0.12555818609555469</v>
      </c>
      <c r="AE47">
        <v>-6.3758181850625734E-2</v>
      </c>
      <c r="AF47">
        <v>-0.1394341802727127</v>
      </c>
      <c r="AG47">
        <v>-2.0802784783638711E-2</v>
      </c>
      <c r="AH47">
        <v>3.7381089630503697E-2</v>
      </c>
      <c r="AI47">
        <v>-0.15612794390820889</v>
      </c>
      <c r="AJ47">
        <v>-0.1237343590628921</v>
      </c>
      <c r="AK47">
        <v>-4.8749716411196402E-2</v>
      </c>
      <c r="AL47">
        <v>-0.10553613008242189</v>
      </c>
      <c r="AM47">
        <v>-4.7191194799549627E-2</v>
      </c>
      <c r="AN47">
        <v>-2.876012319730974E-2</v>
      </c>
      <c r="AO47">
        <v>-0.20974593233612909</v>
      </c>
      <c r="AP47">
        <v>-0.2229484933143453</v>
      </c>
      <c r="AQ47">
        <v>-0.15308297410015689</v>
      </c>
      <c r="AR47">
        <v>-4.8763978254917288E-2</v>
      </c>
      <c r="AS47">
        <v>-3.0468338890736E-2</v>
      </c>
      <c r="AT47">
        <v>-5.4038605012748653E-2</v>
      </c>
      <c r="AU47">
        <v>-0.20306552927335281</v>
      </c>
      <c r="AV47">
        <v>0.10790791440180331</v>
      </c>
      <c r="AW47">
        <v>-0.1065582219910769</v>
      </c>
      <c r="AX47">
        <v>-2.8386284305494829E-2</v>
      </c>
    </row>
    <row r="48" spans="1:50" x14ac:dyDescent="0.25">
      <c r="A48">
        <v>0.25313300641192649</v>
      </c>
      <c r="B48">
        <v>-0.1198724584174059</v>
      </c>
      <c r="C48">
        <v>9.0948816042752539E-2</v>
      </c>
      <c r="D48">
        <v>-4.8467919203127353E-2</v>
      </c>
      <c r="E48">
        <v>8.798712748415978E-2</v>
      </c>
      <c r="F48">
        <v>-0.31386376728749699</v>
      </c>
      <c r="G48">
        <v>0.122420338574045</v>
      </c>
      <c r="H48">
        <v>-4.1502880684589932E-2</v>
      </c>
      <c r="I48">
        <v>-0.25403038344656231</v>
      </c>
      <c r="J48">
        <v>0.22601078687136381</v>
      </c>
      <c r="K48">
        <v>-0.21974699034100609</v>
      </c>
      <c r="L48">
        <v>0.15391387996241129</v>
      </c>
      <c r="M48">
        <v>-5.0153762863288549E-3</v>
      </c>
      <c r="N48">
        <v>0.1147387957815766</v>
      </c>
      <c r="O48">
        <v>0.10589708580719349</v>
      </c>
      <c r="P48">
        <v>-0.17094981931549841</v>
      </c>
      <c r="Q48">
        <v>-0.50297412670946162</v>
      </c>
      <c r="R48">
        <v>6.5026705312187155E-2</v>
      </c>
      <c r="S48">
        <v>0.3264156151492561</v>
      </c>
      <c r="T48">
        <v>-3.9921879608718958E-2</v>
      </c>
      <c r="U48">
        <v>0.1051078424754774</v>
      </c>
      <c r="V48">
        <v>-0.1141683010050179</v>
      </c>
      <c r="W48">
        <v>-0.18515835102678871</v>
      </c>
      <c r="X48">
        <v>-0.18568913958953071</v>
      </c>
      <c r="Y48">
        <v>2.7896358875901969E-2</v>
      </c>
      <c r="Z48">
        <v>2.8736578948022781E-2</v>
      </c>
      <c r="AA48">
        <v>-1.1551647284581971E-2</v>
      </c>
      <c r="AB48">
        <v>9.1744763097823298E-2</v>
      </c>
      <c r="AC48">
        <v>-0.29214511864613613</v>
      </c>
      <c r="AD48">
        <v>0.32885928353898419</v>
      </c>
      <c r="AE48">
        <v>0.42388851462894239</v>
      </c>
      <c r="AF48">
        <v>5.2528115826030473E-2</v>
      </c>
      <c r="AG48">
        <v>0.1159932027821972</v>
      </c>
      <c r="AH48">
        <v>-0.12780625241579341</v>
      </c>
      <c r="AI48">
        <v>-0.1357990962756869</v>
      </c>
      <c r="AJ48">
        <v>0.29054432199874242</v>
      </c>
      <c r="AK48">
        <v>-0.28312362608516412</v>
      </c>
      <c r="AL48">
        <v>-0.27781324159244508</v>
      </c>
      <c r="AM48">
        <v>0.26784473609925957</v>
      </c>
      <c r="AN48">
        <v>-0.2256990011279992</v>
      </c>
      <c r="AO48">
        <v>-0.1610010484634351</v>
      </c>
      <c r="AP48">
        <v>-0.38838345060490742</v>
      </c>
      <c r="AQ48">
        <v>-0.20709848833733771</v>
      </c>
      <c r="AR48">
        <v>-0.10144518421594501</v>
      </c>
      <c r="AS48">
        <v>-0.1515203598186112</v>
      </c>
      <c r="AT48">
        <v>-0.12401399375967929</v>
      </c>
      <c r="AU48">
        <v>8.4162984651546258E-2</v>
      </c>
      <c r="AV48">
        <v>0.1169405115022001</v>
      </c>
      <c r="AW48">
        <v>-0.25866164092675098</v>
      </c>
      <c r="AX48">
        <v>7.6567033495123005E-2</v>
      </c>
    </row>
    <row r="49" spans="1:50" x14ac:dyDescent="0.25">
      <c r="A49">
        <v>-0.1227915402782836</v>
      </c>
      <c r="B49">
        <v>-0.31703379623268241</v>
      </c>
      <c r="C49">
        <v>-0.28187726901894639</v>
      </c>
      <c r="D49">
        <v>-0.20042117266794271</v>
      </c>
      <c r="E49">
        <v>-0.20116582363637631</v>
      </c>
      <c r="F49">
        <v>-2.3374433454059661E-2</v>
      </c>
      <c r="G49">
        <v>-6.4252671985027113E-2</v>
      </c>
      <c r="H49">
        <v>-0.2522221217335705</v>
      </c>
      <c r="I49">
        <v>0.1412785573669377</v>
      </c>
      <c r="J49">
        <v>0.23900146826616259</v>
      </c>
      <c r="K49">
        <v>6.6789097451756775E-4</v>
      </c>
      <c r="L49">
        <v>-0.29932517074854192</v>
      </c>
      <c r="M49">
        <v>-8.2424900661742004E-2</v>
      </c>
      <c r="N49">
        <v>5.5140846846634103E-2</v>
      </c>
      <c r="O49">
        <v>8.7438160564086587E-3</v>
      </c>
      <c r="P49">
        <v>-0.21174931349606799</v>
      </c>
      <c r="Q49">
        <v>-0.14982356651384451</v>
      </c>
      <c r="R49">
        <v>-0.30930214233259501</v>
      </c>
      <c r="S49">
        <v>-0.1668461046534066</v>
      </c>
      <c r="T49">
        <v>-0.25577215536281239</v>
      </c>
      <c r="U49">
        <v>0.14899227265466669</v>
      </c>
      <c r="V49">
        <v>2.4687182797533409E-2</v>
      </c>
      <c r="W49">
        <v>6.8744378139537834E-2</v>
      </c>
      <c r="X49">
        <v>-0.1320812013929327</v>
      </c>
      <c r="Y49">
        <v>-0.45553246880359538</v>
      </c>
      <c r="Z49">
        <v>-9.5349345725673509E-2</v>
      </c>
      <c r="AA49">
        <v>-0.1186640117860929</v>
      </c>
      <c r="AB49">
        <v>-7.9057472251900754E-2</v>
      </c>
      <c r="AC49">
        <v>8.7448275119960915E-3</v>
      </c>
      <c r="AD49">
        <v>-0.1297966708589699</v>
      </c>
      <c r="AE49">
        <v>-0.25477327336601552</v>
      </c>
      <c r="AF49">
        <v>-5.4938654294416883E-2</v>
      </c>
      <c r="AG49">
        <v>0.34133444869671592</v>
      </c>
      <c r="AH49">
        <v>-0.14696914560626231</v>
      </c>
      <c r="AI49">
        <v>-4.2001209138712997E-2</v>
      </c>
      <c r="AJ49">
        <v>-0.14823092115137629</v>
      </c>
      <c r="AK49">
        <v>-0.22534967571257519</v>
      </c>
      <c r="AL49">
        <v>-7.820914441217354E-2</v>
      </c>
      <c r="AM49">
        <v>0.17491632338602389</v>
      </c>
      <c r="AN49">
        <v>-0.2504397718241777</v>
      </c>
      <c r="AO49">
        <v>0.1576472039263507</v>
      </c>
      <c r="AP49">
        <v>-0.28613314015815239</v>
      </c>
      <c r="AQ49">
        <v>0.2560722757219443</v>
      </c>
      <c r="AR49">
        <v>-3.7841459176481997E-2</v>
      </c>
      <c r="AS49">
        <v>-6.1926612314820551E-2</v>
      </c>
      <c r="AT49">
        <v>-0.1057605990506872</v>
      </c>
      <c r="AU49">
        <v>-0.27088048631785971</v>
      </c>
      <c r="AV49">
        <v>-0.195601562583472</v>
      </c>
      <c r="AW49">
        <v>-0.2085312555941084</v>
      </c>
      <c r="AX49">
        <v>-0.1239522485908639</v>
      </c>
    </row>
    <row r="50" spans="1:50" x14ac:dyDescent="0.25">
      <c r="A50">
        <v>-0.13356498326904079</v>
      </c>
      <c r="B50">
        <v>0.1144279026743891</v>
      </c>
      <c r="C50">
        <v>-1.699180126302624E-2</v>
      </c>
      <c r="D50">
        <v>0.21487005937256121</v>
      </c>
      <c r="E50">
        <v>-8.1455503878711324E-3</v>
      </c>
      <c r="F50">
        <v>-0.18470338572512471</v>
      </c>
      <c r="G50">
        <v>3.3485314246006113E-2</v>
      </c>
      <c r="H50">
        <v>0.18953126976986559</v>
      </c>
      <c r="I50">
        <v>2.6241852374793921E-2</v>
      </c>
      <c r="J50">
        <v>-0.24618560835042139</v>
      </c>
      <c r="K50">
        <v>9.435504522135528E-2</v>
      </c>
      <c r="L50">
        <v>6.1300072840580831E-2</v>
      </c>
      <c r="M50">
        <v>0.13083156265625709</v>
      </c>
      <c r="N50">
        <v>0.1304917001788431</v>
      </c>
      <c r="O50">
        <v>1.5420648931936299E-2</v>
      </c>
      <c r="P50">
        <v>-3.1439103066068633E-2</v>
      </c>
      <c r="Q50">
        <v>1.1455389042992941E-2</v>
      </c>
      <c r="R50">
        <v>2.36370055647828E-2</v>
      </c>
      <c r="S50">
        <v>-0.18659793240606051</v>
      </c>
      <c r="T50">
        <v>-0.1708816789361142</v>
      </c>
      <c r="U50">
        <v>-8.3041600512829231E-2</v>
      </c>
      <c r="V50">
        <v>1.028187706345191E-2</v>
      </c>
      <c r="W50">
        <v>-0.1022177314032808</v>
      </c>
      <c r="X50">
        <v>0.13789312679152441</v>
      </c>
      <c r="Y50">
        <v>0.1634025757738978</v>
      </c>
      <c r="Z50">
        <v>8.8944071844559505E-2</v>
      </c>
      <c r="AA50">
        <v>0.31555812143671541</v>
      </c>
      <c r="AB50">
        <v>0.29941883998711932</v>
      </c>
      <c r="AC50">
        <v>-0.13467482621887761</v>
      </c>
      <c r="AD50">
        <v>-6.5041783124732688E-2</v>
      </c>
      <c r="AE50">
        <v>-0.23199695295750941</v>
      </c>
      <c r="AF50">
        <v>0.4430139638274519</v>
      </c>
      <c r="AG50">
        <v>0.13254970955410961</v>
      </c>
      <c r="AH50">
        <v>-0.34770208463661362</v>
      </c>
      <c r="AI50">
        <v>2.6315236295232341E-2</v>
      </c>
      <c r="AJ50">
        <v>0.1994523863174473</v>
      </c>
      <c r="AK50">
        <v>-0.1571061745208315</v>
      </c>
      <c r="AL50">
        <v>0.23972650198208559</v>
      </c>
      <c r="AM50">
        <v>7.6507924647541914E-2</v>
      </c>
      <c r="AN50">
        <v>0.1952341538218087</v>
      </c>
      <c r="AO50">
        <v>-6.65519759756453E-2</v>
      </c>
      <c r="AP50">
        <v>-0.33879734067276568</v>
      </c>
      <c r="AQ50">
        <v>7.7204488136081689E-2</v>
      </c>
      <c r="AR50">
        <v>-2.148718548402026E-2</v>
      </c>
      <c r="AS50">
        <v>5.1457977730299649E-2</v>
      </c>
      <c r="AT50">
        <v>-3.2445932943167728E-2</v>
      </c>
      <c r="AU50">
        <v>-0.16659136126365581</v>
      </c>
      <c r="AV50">
        <v>0.15465042285304739</v>
      </c>
      <c r="AW50">
        <v>0.21246990895988141</v>
      </c>
      <c r="AX50">
        <v>5.9623644669587167E-2</v>
      </c>
    </row>
    <row r="51" spans="1:50" x14ac:dyDescent="0.25">
      <c r="A51">
        <v>8.4045760207161313E-2</v>
      </c>
      <c r="B51">
        <v>2.517208157543813E-2</v>
      </c>
      <c r="C51">
        <v>9.9297743417876103E-2</v>
      </c>
      <c r="D51">
        <v>-7.9871479345915532E-4</v>
      </c>
      <c r="E51">
        <v>-0.1807295815868683</v>
      </c>
      <c r="F51">
        <v>-0.18717720336525609</v>
      </c>
      <c r="G51">
        <v>4.3999304189561272E-2</v>
      </c>
      <c r="H51">
        <v>-2.7575605352021571E-2</v>
      </c>
      <c r="I51">
        <v>-0.1785928769059569</v>
      </c>
      <c r="J51">
        <v>0.12518641374486189</v>
      </c>
      <c r="K51">
        <v>-0.20111695396048249</v>
      </c>
      <c r="L51">
        <v>0.21106024279563079</v>
      </c>
      <c r="M51">
        <v>-0.21971459050241809</v>
      </c>
      <c r="N51">
        <v>0.1614079739930746</v>
      </c>
      <c r="O51">
        <v>2.8926196593577948E-2</v>
      </c>
      <c r="P51">
        <v>-9.6368350494285659E-2</v>
      </c>
      <c r="Q51">
        <v>-0.31367644569217312</v>
      </c>
      <c r="R51">
        <v>-1.309173708771403E-2</v>
      </c>
      <c r="S51">
        <v>0.15068220549087549</v>
      </c>
      <c r="T51">
        <v>0.23289058611331759</v>
      </c>
      <c r="U51">
        <v>-0.18090420493260909</v>
      </c>
      <c r="V51">
        <v>-0.15640149797678421</v>
      </c>
      <c r="W51">
        <v>-0.1565889710322278</v>
      </c>
      <c r="X51">
        <v>0.2105901886524556</v>
      </c>
      <c r="Y51">
        <v>1.6702435726639599E-3</v>
      </c>
      <c r="Z51">
        <v>-0.23670532362072461</v>
      </c>
      <c r="AA51">
        <v>6.0609172426209751E-2</v>
      </c>
      <c r="AB51">
        <v>-0.21934845670439501</v>
      </c>
      <c r="AC51">
        <v>-0.16190754360627049</v>
      </c>
      <c r="AD51">
        <v>-0.28242000329244532</v>
      </c>
      <c r="AE51">
        <v>0.23166744223321581</v>
      </c>
      <c r="AF51">
        <v>-0.25289402854551551</v>
      </c>
      <c r="AG51">
        <v>-0.24302395125724879</v>
      </c>
      <c r="AH51">
        <v>8.1159109190693593E-2</v>
      </c>
      <c r="AI51">
        <v>4.9633565281270171E-2</v>
      </c>
      <c r="AJ51">
        <v>7.458888663383148E-2</v>
      </c>
      <c r="AK51">
        <v>9.1221545513982816E-2</v>
      </c>
      <c r="AL51">
        <v>-1.6006572415447631E-2</v>
      </c>
      <c r="AM51">
        <v>0.1288282520604016</v>
      </c>
      <c r="AN51">
        <v>-0.17039306253394881</v>
      </c>
      <c r="AO51">
        <v>0.14143556406920779</v>
      </c>
      <c r="AP51">
        <v>-4.0674016622101281E-2</v>
      </c>
      <c r="AQ51">
        <v>2.369182211480696E-2</v>
      </c>
      <c r="AR51">
        <v>-0.13205951122433479</v>
      </c>
      <c r="AS51">
        <v>-0.16046954147395251</v>
      </c>
      <c r="AT51">
        <v>-5.0002300772741579E-2</v>
      </c>
      <c r="AU51">
        <v>-0.195168863343749</v>
      </c>
      <c r="AV51">
        <v>0.19619115349524791</v>
      </c>
      <c r="AW51">
        <v>-0.116376750656004</v>
      </c>
      <c r="AX51">
        <v>-5.6011292950021323E-2</v>
      </c>
    </row>
    <row r="52" spans="1:50" x14ac:dyDescent="0.25">
      <c r="A52">
        <v>2.7459337594628431E-4</v>
      </c>
      <c r="B52">
        <v>-1.58230706656399E-3</v>
      </c>
      <c r="C52">
        <v>8.5130637335261092E-2</v>
      </c>
      <c r="D52">
        <v>0.1262755732585574</v>
      </c>
      <c r="E52">
        <v>9.1952259734482955E-2</v>
      </c>
      <c r="F52">
        <v>7.5393223354149712E-3</v>
      </c>
      <c r="G52">
        <v>2.9449749458820989E-2</v>
      </c>
      <c r="H52">
        <v>-8.3009954695080337E-2</v>
      </c>
      <c r="I52">
        <v>-2.9187762501431319E-2</v>
      </c>
      <c r="J52">
        <v>1.4899738316500511E-2</v>
      </c>
      <c r="K52">
        <v>7.7303790276478365E-2</v>
      </c>
      <c r="L52">
        <v>-7.6023418136714309E-3</v>
      </c>
      <c r="M52">
        <v>2.8387484286986019E-2</v>
      </c>
      <c r="N52">
        <v>-3.8138966933833569E-2</v>
      </c>
      <c r="O52">
        <v>4.5509915644561617E-2</v>
      </c>
      <c r="P52">
        <v>-0.1107955330569534</v>
      </c>
      <c r="Q52">
        <v>9.9899186112500954E-2</v>
      </c>
      <c r="R52">
        <v>5.3907959122075112E-2</v>
      </c>
      <c r="S52">
        <v>3.2859364878655192E-2</v>
      </c>
      <c r="T52">
        <v>0.18367947191235351</v>
      </c>
      <c r="U52">
        <v>-4.0538243600406372E-2</v>
      </c>
      <c r="V52">
        <v>-2.248549804937764E-2</v>
      </c>
      <c r="W52">
        <v>-7.3672895282013651E-2</v>
      </c>
      <c r="X52">
        <v>-8.9641730542722814E-2</v>
      </c>
      <c r="Y52">
        <v>-1.1173306707173069E-2</v>
      </c>
      <c r="Z52">
        <v>-2.5758254044964971E-2</v>
      </c>
      <c r="AA52">
        <v>2.3087292863857401E-2</v>
      </c>
      <c r="AB52">
        <v>-0.1309004399010652</v>
      </c>
      <c r="AC52">
        <v>-9.89672318146992E-2</v>
      </c>
      <c r="AD52">
        <v>-4.3309572899199157E-2</v>
      </c>
      <c r="AE52">
        <v>6.3457305498408847E-2</v>
      </c>
      <c r="AF52">
        <v>5.7999576945724621E-2</v>
      </c>
      <c r="AG52">
        <v>-0.13066123053543349</v>
      </c>
      <c r="AH52">
        <v>3.3552919423213007E-2</v>
      </c>
      <c r="AI52">
        <v>-8.1682563282511833E-2</v>
      </c>
      <c r="AJ52">
        <v>8.1524846556097735E-2</v>
      </c>
      <c r="AK52">
        <v>-6.7919040002426892E-2</v>
      </c>
      <c r="AL52">
        <v>-8.0153766197067627E-2</v>
      </c>
      <c r="AM52">
        <v>2.3280451637341579E-2</v>
      </c>
      <c r="AN52">
        <v>2.356420738253115E-3</v>
      </c>
      <c r="AO52">
        <v>-9.5064616495080578E-2</v>
      </c>
      <c r="AP52">
        <v>0.12269261960435771</v>
      </c>
      <c r="AQ52">
        <v>-5.1716347683865377E-2</v>
      </c>
      <c r="AR52">
        <v>7.0370569588328394E-3</v>
      </c>
      <c r="AS52">
        <v>-4.4924480280024159E-2</v>
      </c>
      <c r="AT52">
        <v>-0.10818342879365631</v>
      </c>
      <c r="AU52">
        <v>-4.5250896571525027E-2</v>
      </c>
      <c r="AV52">
        <v>-6.8384224757476297E-2</v>
      </c>
      <c r="AW52">
        <v>5.0778589790042752E-2</v>
      </c>
      <c r="AX52">
        <v>-2.6304299821506338E-2</v>
      </c>
    </row>
    <row r="53" spans="1:50" x14ac:dyDescent="0.25">
      <c r="A53">
        <v>0.27052459140310658</v>
      </c>
      <c r="B53">
        <v>6.4799549297042208E-2</v>
      </c>
      <c r="C53">
        <v>0.56672159241573328</v>
      </c>
      <c r="D53">
        <v>-0.21604664763256751</v>
      </c>
      <c r="E53">
        <v>0.17843459907452769</v>
      </c>
      <c r="F53">
        <v>-8.0900522050984996E-2</v>
      </c>
      <c r="G53">
        <v>0.42329157374787568</v>
      </c>
      <c r="H53">
        <v>0.16449030278756099</v>
      </c>
      <c r="I53">
        <v>0.29242989360702948</v>
      </c>
      <c r="J53">
        <v>5.5489926427068133E-2</v>
      </c>
      <c r="K53">
        <v>0.31743952611360621</v>
      </c>
      <c r="L53">
        <v>4.2805836694545012E-2</v>
      </c>
      <c r="M53">
        <v>0.4886208063681205</v>
      </c>
      <c r="N53">
        <v>8.8189555835690686E-2</v>
      </c>
      <c r="O53">
        <v>-4.7524687710535439E-2</v>
      </c>
      <c r="P53">
        <v>0.50587025403724273</v>
      </c>
      <c r="Q53">
        <v>0.83602838271291002</v>
      </c>
      <c r="R53">
        <v>0.2286040944468459</v>
      </c>
      <c r="S53">
        <v>-0.26360030727608208</v>
      </c>
      <c r="T53">
        <v>0.39032566855906892</v>
      </c>
      <c r="U53">
        <v>0.52062955409952527</v>
      </c>
      <c r="V53">
        <v>0.23190679982689069</v>
      </c>
      <c r="W53">
        <v>-0.20127327210421711</v>
      </c>
      <c r="X53">
        <v>0.56985995343394347</v>
      </c>
      <c r="Y53">
        <v>0.68956365567362077</v>
      </c>
      <c r="Z53">
        <v>0.7649936899648534</v>
      </c>
      <c r="AA53">
        <v>-0.14817290835387839</v>
      </c>
      <c r="AB53">
        <v>0.89262221404863196</v>
      </c>
      <c r="AC53">
        <v>0.25885751734019219</v>
      </c>
      <c r="AD53">
        <v>-0.1022072103116326</v>
      </c>
      <c r="AE53">
        <v>-2.6597064922423311E-4</v>
      </c>
      <c r="AF53">
        <v>0.30059733503848002</v>
      </c>
      <c r="AG53">
        <v>-0.32377529939885891</v>
      </c>
      <c r="AH53">
        <v>4.1404613194081119E-2</v>
      </c>
      <c r="AI53">
        <v>0.49933980733520061</v>
      </c>
      <c r="AJ53">
        <v>-0.48710204205689639</v>
      </c>
      <c r="AK53">
        <v>0.50918356808240517</v>
      </c>
      <c r="AL53">
        <v>0.21814352716329491</v>
      </c>
      <c r="AM53">
        <v>7.1547075782228764E-3</v>
      </c>
      <c r="AN53">
        <v>0.18168475632346359</v>
      </c>
      <c r="AO53">
        <v>0.51980437723125905</v>
      </c>
      <c r="AP53">
        <v>-7.5410782514502422E-2</v>
      </c>
      <c r="AQ53">
        <v>0.1498304715066891</v>
      </c>
      <c r="AR53">
        <v>0.1093917924853776</v>
      </c>
      <c r="AS53">
        <v>7.0191656628505891E-2</v>
      </c>
      <c r="AT53">
        <v>1.8934338655330601E-2</v>
      </c>
      <c r="AU53">
        <v>-6.5771936235979739E-2</v>
      </c>
      <c r="AV53">
        <v>-0.26347166956319151</v>
      </c>
      <c r="AW53">
        <v>0.58336890810350883</v>
      </c>
      <c r="AX53">
        <v>0.21986940767570529</v>
      </c>
    </row>
    <row r="54" spans="1:50" x14ac:dyDescent="0.25">
      <c r="A54">
        <v>-0.1113514865263863</v>
      </c>
      <c r="B54">
        <v>-0.16165170044755539</v>
      </c>
      <c r="C54">
        <v>-0.37987197930802352</v>
      </c>
      <c r="D54">
        <v>-0.27555857691699842</v>
      </c>
      <c r="E54">
        <v>0.41780802744675261</v>
      </c>
      <c r="F54">
        <v>-0.19489187463587179</v>
      </c>
      <c r="G54">
        <v>-4.497569258335625E-2</v>
      </c>
      <c r="H54">
        <v>-1.5339052227883841E-2</v>
      </c>
      <c r="I54">
        <v>-6.9800579872226834E-2</v>
      </c>
      <c r="J54">
        <v>3.6927280178978977E-2</v>
      </c>
      <c r="K54">
        <v>-0.42133280853524102</v>
      </c>
      <c r="L54">
        <v>5.100357984177609E-3</v>
      </c>
      <c r="M54">
        <v>-0.28504397539387649</v>
      </c>
      <c r="N54">
        <v>-0.2009005248217422</v>
      </c>
      <c r="O54">
        <v>4.9537473122306511E-2</v>
      </c>
      <c r="P54">
        <v>-0.24372767560922379</v>
      </c>
      <c r="Q54">
        <v>-0.3694786874733455</v>
      </c>
      <c r="R54">
        <v>-6.886942622737087E-2</v>
      </c>
      <c r="S54">
        <v>-5.7462656638414163E-2</v>
      </c>
      <c r="T54">
        <v>-0.2421195787372464</v>
      </c>
      <c r="U54">
        <v>4.643827443277139E-2</v>
      </c>
      <c r="V54">
        <v>-0.18390117532883071</v>
      </c>
      <c r="W54">
        <v>0.1897407564621767</v>
      </c>
      <c r="X54">
        <v>-0.28548050866449393</v>
      </c>
      <c r="Y54">
        <v>6.3333478786854858E-2</v>
      </c>
      <c r="Z54">
        <v>-0.13035776478929009</v>
      </c>
      <c r="AA54">
        <v>-0.46434906887454352</v>
      </c>
      <c r="AB54">
        <v>-0.55841754763423668</v>
      </c>
      <c r="AC54">
        <v>-0.15639664307554171</v>
      </c>
      <c r="AD54">
        <v>0.14752363098516569</v>
      </c>
      <c r="AE54">
        <v>-0.29553732053028209</v>
      </c>
      <c r="AF54">
        <v>-3.4638043560877421E-2</v>
      </c>
      <c r="AG54">
        <v>-0.2039450455115831</v>
      </c>
      <c r="AH54">
        <v>8.7487049592053473E-2</v>
      </c>
      <c r="AI54">
        <v>-0.14882900745287869</v>
      </c>
      <c r="AJ54">
        <v>-0.3060092840784685</v>
      </c>
      <c r="AK54">
        <v>-0.1858237900778163</v>
      </c>
      <c r="AL54">
        <v>3.4567452466947271E-2</v>
      </c>
      <c r="AM54">
        <v>0.24597841945809051</v>
      </c>
      <c r="AN54">
        <v>-0.11465547124774721</v>
      </c>
      <c r="AO54">
        <v>-0.103452866648637</v>
      </c>
      <c r="AP54">
        <v>-0.51285630695820517</v>
      </c>
      <c r="AQ54">
        <v>-0.1701444663144823</v>
      </c>
      <c r="AR54">
        <v>3.6161344689154433E-2</v>
      </c>
      <c r="AS54">
        <v>2.8588145441102698E-2</v>
      </c>
      <c r="AT54">
        <v>0.2863141821849205</v>
      </c>
      <c r="AU54">
        <v>0.26813060565001079</v>
      </c>
      <c r="AV54">
        <v>-0.21096632698420911</v>
      </c>
      <c r="AW54">
        <v>-0.24644737039077749</v>
      </c>
      <c r="AX54">
        <v>-0.13750800221470011</v>
      </c>
    </row>
    <row r="55" spans="1:50" x14ac:dyDescent="0.25">
      <c r="A55">
        <v>-9.7973560436202187E-2</v>
      </c>
      <c r="B55">
        <v>-0.13015779315500431</v>
      </c>
      <c r="C55">
        <v>-0.32874099758421688</v>
      </c>
      <c r="D55">
        <v>-0.18361039747395749</v>
      </c>
      <c r="E55">
        <v>0.14981507956846851</v>
      </c>
      <c r="F55">
        <v>0.1905415767268234</v>
      </c>
      <c r="G55">
        <v>0.44044929502322788</v>
      </c>
      <c r="H55">
        <v>-0.38513711008405399</v>
      </c>
      <c r="I55">
        <v>-0.33642798420876208</v>
      </c>
      <c r="J55">
        <v>5.4887441933349441E-2</v>
      </c>
      <c r="K55">
        <v>-1.048308027925424E-2</v>
      </c>
      <c r="L55">
        <v>0.2176653562346334</v>
      </c>
      <c r="M55">
        <v>0.15693161544152881</v>
      </c>
      <c r="N55">
        <v>-0.2343322149974397</v>
      </c>
      <c r="O55">
        <v>0.2233086643225935</v>
      </c>
      <c r="P55">
        <v>-0.29217954468411961</v>
      </c>
      <c r="Q55">
        <v>-0.35966692554668722</v>
      </c>
      <c r="R55">
        <v>0.10239863150850841</v>
      </c>
      <c r="S55">
        <v>0.24102699018431251</v>
      </c>
      <c r="T55">
        <v>-6.4781430791795658E-2</v>
      </c>
      <c r="U55">
        <v>-0.16553873856087711</v>
      </c>
      <c r="V55">
        <v>0.20884783564583639</v>
      </c>
      <c r="W55">
        <v>-3.061556148930929E-2</v>
      </c>
      <c r="X55">
        <v>-0.21809394337696761</v>
      </c>
      <c r="Y55">
        <v>-0.30936786298766578</v>
      </c>
      <c r="Z55">
        <v>-0.32656732400714389</v>
      </c>
      <c r="AA55">
        <v>-0.63435120909087628</v>
      </c>
      <c r="AB55">
        <v>-0.16058620827710721</v>
      </c>
      <c r="AC55">
        <v>-4.1285196233831312E-2</v>
      </c>
      <c r="AD55">
        <v>-3.4790513586049371E-2</v>
      </c>
      <c r="AE55">
        <v>0.19928269311259719</v>
      </c>
      <c r="AF55">
        <v>-8.0965338205527537E-2</v>
      </c>
      <c r="AG55">
        <v>-0.44806793872313883</v>
      </c>
      <c r="AH55">
        <v>0.2333100067425764</v>
      </c>
      <c r="AI55">
        <v>-0.43948632764513829</v>
      </c>
      <c r="AJ55">
        <v>0.29154682218381411</v>
      </c>
      <c r="AK55">
        <v>0.15928816599115311</v>
      </c>
      <c r="AL55">
        <v>0.2554014833455196</v>
      </c>
      <c r="AM55">
        <v>-0.13589885228927129</v>
      </c>
      <c r="AN55">
        <v>1.6541106174145281E-2</v>
      </c>
      <c r="AO55">
        <v>-0.31184363057699399</v>
      </c>
      <c r="AP55">
        <v>-0.22678510268395111</v>
      </c>
      <c r="AQ55">
        <v>0.3792923826324161</v>
      </c>
      <c r="AR55">
        <v>-0.21220732551725799</v>
      </c>
      <c r="AS55">
        <v>0.17240057397156591</v>
      </c>
      <c r="AT55">
        <v>5.5292348109337378E-2</v>
      </c>
      <c r="AU55">
        <v>-0.28819273128181339</v>
      </c>
      <c r="AV55">
        <v>-4.158275757162589E-2</v>
      </c>
      <c r="AW55">
        <v>0.23335511943380929</v>
      </c>
      <c r="AX55">
        <v>0.35940117701711749</v>
      </c>
    </row>
    <row r="56" spans="1:50" x14ac:dyDescent="0.25">
      <c r="A56">
        <v>-3.179797242909238E-2</v>
      </c>
      <c r="B56">
        <v>0.39516713568781558</v>
      </c>
      <c r="C56">
        <v>2.7518478899349851E-3</v>
      </c>
      <c r="D56">
        <v>0.16662049910414581</v>
      </c>
      <c r="E56">
        <v>-0.1523311198466987</v>
      </c>
      <c r="F56">
        <v>-1.017681632353681E-2</v>
      </c>
      <c r="G56">
        <v>-3.105927709438195E-2</v>
      </c>
      <c r="H56">
        <v>0.18664916752167199</v>
      </c>
      <c r="I56">
        <v>0.2225120810003077</v>
      </c>
      <c r="J56">
        <v>-0.16507911456374541</v>
      </c>
      <c r="K56">
        <v>-0.30289652183055071</v>
      </c>
      <c r="L56">
        <v>-8.660822511387252E-2</v>
      </c>
      <c r="M56">
        <v>-0.1225329853975777</v>
      </c>
      <c r="N56">
        <v>0.17008911766889029</v>
      </c>
      <c r="O56">
        <v>-0.29589027116064048</v>
      </c>
      <c r="P56">
        <v>-8.0027742268515088E-3</v>
      </c>
      <c r="Q56">
        <v>-0.22099663528294089</v>
      </c>
      <c r="R56">
        <v>0.35848192051467392</v>
      </c>
      <c r="S56">
        <v>-0.14985494697436169</v>
      </c>
      <c r="T56">
        <v>2.556385662544303E-2</v>
      </c>
      <c r="U56">
        <v>0.15846155084646779</v>
      </c>
      <c r="V56">
        <v>-0.1029092835413323</v>
      </c>
      <c r="W56">
        <v>1.3671847070471361E-2</v>
      </c>
      <c r="X56">
        <v>-0.1046158923006769</v>
      </c>
      <c r="Y56">
        <v>0.11573663019260889</v>
      </c>
      <c r="Z56">
        <v>8.6812285885226048E-2</v>
      </c>
      <c r="AA56">
        <v>-5.4465130132137822E-2</v>
      </c>
      <c r="AB56">
        <v>-0.27203874999631378</v>
      </c>
      <c r="AC56">
        <v>0.48055562093442528</v>
      </c>
      <c r="AD56">
        <v>-0.19474534821485129</v>
      </c>
      <c r="AE56">
        <v>-0.15481494952389729</v>
      </c>
      <c r="AF56">
        <v>1.8656744060346869E-2</v>
      </c>
      <c r="AG56">
        <v>6.2489370918687871E-2</v>
      </c>
      <c r="AH56">
        <v>0.2553009527791395</v>
      </c>
      <c r="AI56">
        <v>-0.21083582670455181</v>
      </c>
      <c r="AJ56">
        <v>0.31337840432516478</v>
      </c>
      <c r="AK56">
        <v>4.3850135115036867E-2</v>
      </c>
      <c r="AL56">
        <v>-0.25303371447480189</v>
      </c>
      <c r="AM56">
        <v>0.14561917861896889</v>
      </c>
      <c r="AN56">
        <v>0.42580381814063972</v>
      </c>
      <c r="AO56">
        <v>0.20353387620463989</v>
      </c>
      <c r="AP56">
        <v>0.6301005677396383</v>
      </c>
      <c r="AQ56">
        <v>-0.10559614993791321</v>
      </c>
      <c r="AR56">
        <v>-0.23967183334854669</v>
      </c>
      <c r="AS56">
        <v>-0.1733055065447317</v>
      </c>
      <c r="AT56">
        <v>0.198766905285719</v>
      </c>
      <c r="AU56">
        <v>3.8316700828885747E-2</v>
      </c>
      <c r="AV56">
        <v>0.26618515880232202</v>
      </c>
      <c r="AW56">
        <v>-8.9545958215238475E-2</v>
      </c>
      <c r="AX56">
        <v>-4.2056533816040638E-2</v>
      </c>
    </row>
    <row r="57" spans="1:50" x14ac:dyDescent="0.25">
      <c r="A57">
        <v>2.93625872318884E-2</v>
      </c>
      <c r="B57">
        <v>0.15067158089366961</v>
      </c>
      <c r="C57">
        <v>0.19576720611168291</v>
      </c>
      <c r="D57">
        <v>0.25540249410457838</v>
      </c>
      <c r="E57">
        <v>-0.33488089297559698</v>
      </c>
      <c r="F57">
        <v>0.1218606272951136</v>
      </c>
      <c r="G57">
        <v>-0.26193510584322638</v>
      </c>
      <c r="H57">
        <v>0.17184563476060111</v>
      </c>
      <c r="I57">
        <v>0.1426214854419639</v>
      </c>
      <c r="J57">
        <v>-2.2123650253637821E-2</v>
      </c>
      <c r="K57">
        <v>-0.2137186313870921</v>
      </c>
      <c r="L57">
        <v>6.3585688349250505E-2</v>
      </c>
      <c r="M57">
        <v>-0.22800280428395109</v>
      </c>
      <c r="N57">
        <v>-0.25936722012978408</v>
      </c>
      <c r="O57">
        <v>-0.186417751772259</v>
      </c>
      <c r="P57">
        <v>-0.1632818942319014</v>
      </c>
      <c r="Q57">
        <v>0.35431774581977049</v>
      </c>
      <c r="R57">
        <v>-0.24369133260587461</v>
      </c>
      <c r="S57">
        <v>-0.1967889349852327</v>
      </c>
      <c r="T57">
        <v>-0.17560758608101079</v>
      </c>
      <c r="U57">
        <v>6.3186448557484898E-2</v>
      </c>
      <c r="V57">
        <v>-0.1047942322151736</v>
      </c>
      <c r="W57">
        <v>0.2293742268147792</v>
      </c>
      <c r="X57">
        <v>-0.30734142129130793</v>
      </c>
      <c r="Y57">
        <v>-0.35743197612841171</v>
      </c>
      <c r="Z57">
        <v>0.30970030609389521</v>
      </c>
      <c r="AA57">
        <v>0.1538085048631937</v>
      </c>
      <c r="AB57">
        <v>8.2891230188553208E-3</v>
      </c>
      <c r="AC57">
        <v>9.0262972517395235E-2</v>
      </c>
      <c r="AD57">
        <v>-0.42725526818196102</v>
      </c>
      <c r="AE57">
        <v>0.13239425827112469</v>
      </c>
      <c r="AF57">
        <v>0.1720164243641471</v>
      </c>
      <c r="AG57">
        <v>0.18756883653154729</v>
      </c>
      <c r="AH57">
        <v>-0.29014455924777932</v>
      </c>
      <c r="AI57">
        <v>0.1052192443687899</v>
      </c>
      <c r="AJ57">
        <v>0.19926650091613279</v>
      </c>
      <c r="AK57">
        <v>3.055776167949871E-2</v>
      </c>
      <c r="AL57">
        <v>0.22704141322948271</v>
      </c>
      <c r="AM57">
        <v>0.29848042373484118</v>
      </c>
      <c r="AN57">
        <v>-0.1928091200455567</v>
      </c>
      <c r="AO57">
        <v>-1.8883685396951792E-2</v>
      </c>
      <c r="AP57">
        <v>5.2478317369139188E-2</v>
      </c>
      <c r="AQ57">
        <v>-0.32184657301100922</v>
      </c>
      <c r="AR57">
        <v>-7.7259796126536495E-2</v>
      </c>
      <c r="AS57">
        <v>5.7661123825239101E-2</v>
      </c>
      <c r="AT57">
        <v>-3.9149035736062973E-2</v>
      </c>
      <c r="AU57">
        <v>0.1243927428920881</v>
      </c>
      <c r="AV57">
        <v>0.37088081994998079</v>
      </c>
      <c r="AW57">
        <v>-0.1502662309611183</v>
      </c>
      <c r="AX57">
        <v>-1.078711099722807E-2</v>
      </c>
    </row>
    <row r="58" spans="1:50" x14ac:dyDescent="0.25">
      <c r="A58">
        <v>9.6271215369596569E-2</v>
      </c>
      <c r="B58">
        <v>-0.29902860086437177</v>
      </c>
      <c r="C58">
        <v>9.7477511997772923E-2</v>
      </c>
      <c r="D58">
        <v>-5.6975783633794908E-2</v>
      </c>
      <c r="E58">
        <v>-8.8477670878365555E-2</v>
      </c>
      <c r="F58">
        <v>-9.9628735812176586E-2</v>
      </c>
      <c r="G58">
        <v>-7.5166819680346331E-2</v>
      </c>
      <c r="H58">
        <v>-0.2301157194972524</v>
      </c>
      <c r="I58">
        <v>-9.9681857606910965E-2</v>
      </c>
      <c r="J58">
        <v>-4.2594346585623402E-2</v>
      </c>
      <c r="K58">
        <v>-1.103735463088693E-2</v>
      </c>
      <c r="L58">
        <v>-0.17273079774479769</v>
      </c>
      <c r="M58">
        <v>-2.1645215475617471E-2</v>
      </c>
      <c r="N58">
        <v>-2.5821274162426259E-3</v>
      </c>
      <c r="O58">
        <v>-9.0431643941752904E-2</v>
      </c>
      <c r="P58">
        <v>-0.25473239289936261</v>
      </c>
      <c r="Q58">
        <v>-0.14373630784159899</v>
      </c>
      <c r="R58">
        <v>3.9957357224693998E-2</v>
      </c>
      <c r="S58">
        <v>7.9378583809309899E-2</v>
      </c>
      <c r="T58">
        <v>-0.32012881597315768</v>
      </c>
      <c r="U58">
        <v>-0.22320151673503091</v>
      </c>
      <c r="V58">
        <v>8.4624696302047553E-2</v>
      </c>
      <c r="W58">
        <v>0.13148523682361149</v>
      </c>
      <c r="X58">
        <v>6.4894461657474173E-2</v>
      </c>
      <c r="Y58">
        <v>-0.27440812595220759</v>
      </c>
      <c r="Z58">
        <v>-0.29491556865712593</v>
      </c>
      <c r="AA58">
        <v>-0.11604325513385801</v>
      </c>
      <c r="AB58">
        <v>-0.37436958075614291</v>
      </c>
      <c r="AC58">
        <v>-4.2822365939150828E-2</v>
      </c>
      <c r="AD58">
        <v>-0.19147210836823519</v>
      </c>
      <c r="AE58">
        <v>0.1569856740111116</v>
      </c>
      <c r="AF58">
        <v>9.2638021164576784E-3</v>
      </c>
      <c r="AG58">
        <v>-0.17162482155532241</v>
      </c>
      <c r="AH58">
        <v>-0.15726642662970841</v>
      </c>
      <c r="AI58">
        <v>-0.1923057404115007</v>
      </c>
      <c r="AJ58">
        <v>0.1728337467663506</v>
      </c>
      <c r="AK58">
        <v>4.4481722694660317E-2</v>
      </c>
      <c r="AL58">
        <v>-0.11684947071011639</v>
      </c>
      <c r="AM58">
        <v>2.9264159894446851E-2</v>
      </c>
      <c r="AN58">
        <v>8.0280621018110301E-2</v>
      </c>
      <c r="AO58">
        <v>-0.27580017743825919</v>
      </c>
      <c r="AP58">
        <v>-3.930364649375314E-2</v>
      </c>
      <c r="AQ58">
        <v>4.5041943697850962E-3</v>
      </c>
      <c r="AR58">
        <v>-0.14502955257127861</v>
      </c>
      <c r="AS58">
        <v>-0.17046018047070791</v>
      </c>
      <c r="AT58">
        <v>-0.1869280264023282</v>
      </c>
      <c r="AU58">
        <v>-9.4459033083744551E-2</v>
      </c>
      <c r="AV58">
        <v>-4.2919961568915872E-2</v>
      </c>
      <c r="AW58">
        <v>8.7621469945920863E-2</v>
      </c>
      <c r="AX58">
        <v>-0.19573841457736951</v>
      </c>
    </row>
    <row r="59" spans="1:50" x14ac:dyDescent="0.25">
      <c r="A59">
        <v>-0.22390909389016961</v>
      </c>
      <c r="B59">
        <v>7.0068131123948076E-3</v>
      </c>
      <c r="C59">
        <v>-0.13309895247463799</v>
      </c>
      <c r="D59">
        <v>0.1014386031960396</v>
      </c>
      <c r="E59">
        <v>-0.16954860316065939</v>
      </c>
      <c r="F59">
        <v>-0.1411618135604033</v>
      </c>
      <c r="G59">
        <v>8.3380577412894577E-2</v>
      </c>
      <c r="H59">
        <v>-0.2050760148811048</v>
      </c>
      <c r="I59">
        <v>5.8911274929400209E-2</v>
      </c>
      <c r="J59">
        <v>-1.0951184471815679E-2</v>
      </c>
      <c r="K59">
        <v>3.090501533844852E-2</v>
      </c>
      <c r="L59">
        <v>-0.2325994837717188</v>
      </c>
      <c r="M59">
        <v>-0.25028512287004268</v>
      </c>
      <c r="N59">
        <v>-8.8610432877239464E-2</v>
      </c>
      <c r="O59">
        <v>-0.31957205392493709</v>
      </c>
      <c r="P59">
        <v>-0.10894836871328389</v>
      </c>
      <c r="Q59">
        <v>-0.22984032055060119</v>
      </c>
      <c r="R59">
        <v>0.11339525217907601</v>
      </c>
      <c r="S59">
        <v>-4.5671642907323062E-2</v>
      </c>
      <c r="T59">
        <v>-0.1690386737676807</v>
      </c>
      <c r="U59">
        <v>-0.15911881283232651</v>
      </c>
      <c r="V59">
        <v>0.1592773087358377</v>
      </c>
      <c r="W59">
        <v>0.1157832557162443</v>
      </c>
      <c r="X59">
        <v>-7.7411399816004076E-2</v>
      </c>
      <c r="Y59">
        <v>5.3095984053388091E-2</v>
      </c>
      <c r="Z59">
        <v>-7.3599209579624764E-2</v>
      </c>
      <c r="AA59">
        <v>6.7606607546185863E-3</v>
      </c>
      <c r="AB59">
        <v>-4.7612833262009227E-2</v>
      </c>
      <c r="AC59">
        <v>-0.16711003032834171</v>
      </c>
      <c r="AD59">
        <v>-0.20553597970526261</v>
      </c>
      <c r="AE59">
        <v>-1.0862684573311561E-2</v>
      </c>
      <c r="AF59">
        <v>-0.1130177092427902</v>
      </c>
      <c r="AG59">
        <v>-0.14469231443128311</v>
      </c>
      <c r="AH59">
        <v>-1.8645655191007401E-2</v>
      </c>
      <c r="AI59">
        <v>-1.0286423728481819E-2</v>
      </c>
      <c r="AJ59">
        <v>-2.0906399685147719E-2</v>
      </c>
      <c r="AK59">
        <v>0.1643315923823582</v>
      </c>
      <c r="AL59">
        <v>-6.53652207106417E-2</v>
      </c>
      <c r="AM59">
        <v>0.1060963943506993</v>
      </c>
      <c r="AN59">
        <v>-0.2093393675766865</v>
      </c>
      <c r="AO59">
        <v>-0.206208493129236</v>
      </c>
      <c r="AP59">
        <v>-0.1094965031592986</v>
      </c>
      <c r="AQ59">
        <v>-0.22929113603242329</v>
      </c>
      <c r="AR59">
        <v>-0.14479421241783569</v>
      </c>
      <c r="AS59">
        <v>-4.6274020206522083E-3</v>
      </c>
      <c r="AT59">
        <v>-0.1888890877459678</v>
      </c>
      <c r="AU59">
        <v>0.16883641112593201</v>
      </c>
      <c r="AV59">
        <v>-0.20601603060867479</v>
      </c>
      <c r="AW59">
        <v>-7.813174374732848E-3</v>
      </c>
      <c r="AX59">
        <v>-0.2185622001596198</v>
      </c>
    </row>
    <row r="60" spans="1:50" x14ac:dyDescent="0.25">
      <c r="A60">
        <v>2.8339506629679129E-2</v>
      </c>
      <c r="B60">
        <v>-9.961882929203561E-2</v>
      </c>
      <c r="C60">
        <v>5.3511934724141917E-2</v>
      </c>
      <c r="D60">
        <v>-8.9081215278963372E-2</v>
      </c>
      <c r="E60">
        <v>-0.1008309347476047</v>
      </c>
      <c r="F60">
        <v>2.1358847125462991E-2</v>
      </c>
      <c r="G60">
        <v>-9.5994431448785555E-2</v>
      </c>
      <c r="H60">
        <v>-0.1201418054727947</v>
      </c>
      <c r="I60">
        <v>-0.1578069469481965</v>
      </c>
      <c r="J60">
        <v>0.22202289373258069</v>
      </c>
      <c r="K60">
        <v>-0.13888671738381381</v>
      </c>
      <c r="L60">
        <v>-0.2474470446965136</v>
      </c>
      <c r="M60">
        <v>-0.12110374971879739</v>
      </c>
      <c r="N60">
        <v>1.2015145059998209E-2</v>
      </c>
      <c r="O60">
        <v>9.1999630122738041E-2</v>
      </c>
      <c r="P60">
        <v>-1.073575818734677E-2</v>
      </c>
      <c r="Q60">
        <v>-0.105628360822138</v>
      </c>
      <c r="R60">
        <v>8.1964517577926194E-2</v>
      </c>
      <c r="S60">
        <v>0.18869352967435299</v>
      </c>
      <c r="T60">
        <v>-0.21948114737553651</v>
      </c>
      <c r="U60">
        <v>-0.16039677465357899</v>
      </c>
      <c r="V60">
        <v>-5.0445555093064462E-2</v>
      </c>
      <c r="W60">
        <v>0.1725069747070318</v>
      </c>
      <c r="X60">
        <v>-0.14923833510386891</v>
      </c>
      <c r="Y60">
        <v>4.9474707464469483E-2</v>
      </c>
      <c r="Z60">
        <v>-0.10923105723387989</v>
      </c>
      <c r="AA60">
        <v>-6.0224628414275352E-2</v>
      </c>
      <c r="AB60">
        <v>-0.21268412160295569</v>
      </c>
      <c r="AC60">
        <v>3.4049974283876412E-2</v>
      </c>
      <c r="AD60">
        <v>-0.1383652276158206</v>
      </c>
      <c r="AE60">
        <v>-0.13438443187353211</v>
      </c>
      <c r="AF60">
        <v>-0.1028942413483666</v>
      </c>
      <c r="AG60">
        <v>0.19953321939378829</v>
      </c>
      <c r="AH60">
        <v>4.6360947924005323E-2</v>
      </c>
      <c r="AI60">
        <v>7.422534761668694E-4</v>
      </c>
      <c r="AJ60">
        <v>-0.15127949655208711</v>
      </c>
      <c r="AK60">
        <v>-0.22408515766203591</v>
      </c>
      <c r="AL60">
        <v>7.8062772066844269E-3</v>
      </c>
      <c r="AM60">
        <v>-7.8898530593996558E-3</v>
      </c>
      <c r="AN60">
        <v>-0.15978139594995411</v>
      </c>
      <c r="AO60">
        <v>-8.5232410604801814E-2</v>
      </c>
      <c r="AP60">
        <v>5.5208735931185256E-3</v>
      </c>
      <c r="AQ60">
        <v>-0.1168148782417969</v>
      </c>
      <c r="AR60">
        <v>-7.9885967295968419E-2</v>
      </c>
      <c r="AS60">
        <v>-1.043364045262884E-2</v>
      </c>
      <c r="AT60">
        <v>-0.11241069905443531</v>
      </c>
      <c r="AU60">
        <v>-3.3051587904732562E-3</v>
      </c>
      <c r="AV60">
        <v>-0.22790901840637601</v>
      </c>
      <c r="AW60">
        <v>-0.12568439099634021</v>
      </c>
      <c r="AX60">
        <v>0.1492102235410975</v>
      </c>
    </row>
    <row r="61" spans="1:50" x14ac:dyDescent="0.25">
      <c r="A61">
        <v>4.2135887549651023E-2</v>
      </c>
      <c r="B61">
        <v>-0.16760360580083311</v>
      </c>
      <c r="C61">
        <v>-9.5542892964506146E-2</v>
      </c>
      <c r="D61">
        <v>-0.11719830726301519</v>
      </c>
      <c r="E61">
        <v>4.6520149013578788E-2</v>
      </c>
      <c r="F61">
        <v>0.1247808008424726</v>
      </c>
      <c r="G61">
        <v>-0.1057736362515741</v>
      </c>
      <c r="H61">
        <v>0.1750516942693221</v>
      </c>
      <c r="I61">
        <v>1.476456129338987E-2</v>
      </c>
      <c r="J61">
        <v>-6.1656851194887327E-2</v>
      </c>
      <c r="K61">
        <v>0.16227459865826441</v>
      </c>
      <c r="L61">
        <v>-7.1237236260393647E-3</v>
      </c>
      <c r="M61">
        <v>-0.12539976330712271</v>
      </c>
      <c r="N61">
        <v>0.13693755135812161</v>
      </c>
      <c r="O61">
        <v>0.24308117194837431</v>
      </c>
      <c r="P61">
        <v>-3.6718271772030298E-2</v>
      </c>
      <c r="Q61">
        <v>3.5539785901387122E-2</v>
      </c>
      <c r="R61">
        <v>-0.10898399375557551</v>
      </c>
      <c r="S61">
        <v>-0.111507005871699</v>
      </c>
      <c r="T61">
        <v>0.12950373524209999</v>
      </c>
      <c r="U61">
        <v>-9.5301475044706513E-2</v>
      </c>
      <c r="V61">
        <v>-0.1679306943699323</v>
      </c>
      <c r="W61">
        <v>-0.1005564166570147</v>
      </c>
      <c r="X61">
        <v>-0.1012396613215194</v>
      </c>
      <c r="Y61">
        <v>6.5128078744646045E-2</v>
      </c>
      <c r="Z61">
        <v>8.096229215636061E-3</v>
      </c>
      <c r="AA61">
        <v>-0.1128327148903854</v>
      </c>
      <c r="AB61">
        <v>-0.17302731510478289</v>
      </c>
      <c r="AC61">
        <v>-0.1148837520573876</v>
      </c>
      <c r="AD61">
        <v>-0.14696738669002901</v>
      </c>
      <c r="AE61">
        <v>6.4493947697653375E-2</v>
      </c>
      <c r="AF61">
        <v>0.1899687278253144</v>
      </c>
      <c r="AG61">
        <v>-2.974550811439974E-2</v>
      </c>
      <c r="AH61">
        <v>-0.15886349490748999</v>
      </c>
      <c r="AI61">
        <v>-0.15350229936886031</v>
      </c>
      <c r="AJ61">
        <v>-0.140187245374888</v>
      </c>
      <c r="AK61">
        <v>-0.13208730075791919</v>
      </c>
      <c r="AL61">
        <v>-6.1764441591000219E-3</v>
      </c>
      <c r="AM61">
        <v>-0.1157211385785703</v>
      </c>
      <c r="AN61">
        <v>-0.12088081248715669</v>
      </c>
      <c r="AO61">
        <v>-0.19743613983072281</v>
      </c>
      <c r="AP61">
        <v>-0.1164517896359904</v>
      </c>
      <c r="AQ61">
        <v>8.8302740042552185E-3</v>
      </c>
      <c r="AR61">
        <v>-5.6344826002342668E-2</v>
      </c>
      <c r="AS61">
        <v>0.100025107494185</v>
      </c>
      <c r="AT61">
        <v>-6.043300184325754E-2</v>
      </c>
      <c r="AU61">
        <v>0.23245899516789911</v>
      </c>
      <c r="AV61">
        <v>-0.11780593340171221</v>
      </c>
      <c r="AW61">
        <v>-7.5977133925095836E-2</v>
      </c>
      <c r="AX61">
        <v>-4.1908748205651013E-2</v>
      </c>
    </row>
    <row r="62" spans="1:50" x14ac:dyDescent="0.25">
      <c r="A62">
        <v>-5.4113628020446287E-2</v>
      </c>
      <c r="B62">
        <v>-9.83997861425739E-2</v>
      </c>
      <c r="C62">
        <v>-0.43755082583361171</v>
      </c>
      <c r="D62">
        <v>-0.30828020382656979</v>
      </c>
      <c r="E62">
        <v>0.19373198743745201</v>
      </c>
      <c r="F62">
        <v>1.0741550313190211E-2</v>
      </c>
      <c r="G62">
        <v>-0.31339528786854859</v>
      </c>
      <c r="H62">
        <v>-0.3288674543256675</v>
      </c>
      <c r="I62">
        <v>-0.34452813036110752</v>
      </c>
      <c r="J62">
        <v>0.33592130744379778</v>
      </c>
      <c r="K62">
        <v>-5.1108948337429107E-2</v>
      </c>
      <c r="L62">
        <v>-0.2091083677150293</v>
      </c>
      <c r="M62">
        <v>-0.1173028747570653</v>
      </c>
      <c r="N62">
        <v>0.1396344331234371</v>
      </c>
      <c r="O62">
        <v>5.9152647732253358E-2</v>
      </c>
      <c r="P62">
        <v>-0.1324249513627227</v>
      </c>
      <c r="Q62">
        <v>-0.43106968113440092</v>
      </c>
      <c r="R62">
        <v>6.2152409847449318E-2</v>
      </c>
      <c r="S62">
        <v>4.7587563745162022E-2</v>
      </c>
      <c r="T62">
        <v>-2.9262782268824131E-2</v>
      </c>
      <c r="U62">
        <v>-0.1247417091006402</v>
      </c>
      <c r="V62">
        <v>2.090772573161959E-2</v>
      </c>
      <c r="W62">
        <v>-0.26213575654904969</v>
      </c>
      <c r="X62">
        <v>-4.9255601734166807E-2</v>
      </c>
      <c r="Y62">
        <v>-0.38251386865424991</v>
      </c>
      <c r="Z62">
        <v>-0.95394048055668723</v>
      </c>
      <c r="AA62">
        <v>0.29076815043105042</v>
      </c>
      <c r="AB62">
        <v>-0.74906882701252653</v>
      </c>
      <c r="AC62">
        <v>-0.39514570879300681</v>
      </c>
      <c r="AD62">
        <v>0.20979400254559841</v>
      </c>
      <c r="AE62">
        <v>-0.1125700859739321</v>
      </c>
      <c r="AF62">
        <v>-8.2030424118053127E-2</v>
      </c>
      <c r="AG62">
        <v>8.7788861473227786E-2</v>
      </c>
      <c r="AH62">
        <v>-0.23140575723606649</v>
      </c>
      <c r="AI62">
        <v>-0.13407558912589321</v>
      </c>
      <c r="AJ62">
        <v>1.6200633951461339E-2</v>
      </c>
      <c r="AK62">
        <v>0.15649665844513669</v>
      </c>
      <c r="AL62">
        <v>-0.25489824209383027</v>
      </c>
      <c r="AM62">
        <v>-0.30715262618643091</v>
      </c>
      <c r="AN62">
        <v>-0.35064979497037457</v>
      </c>
      <c r="AO62">
        <v>-0.49508535901801681</v>
      </c>
      <c r="AP62">
        <v>0.1301409526946439</v>
      </c>
      <c r="AQ62">
        <v>5.6846088100099938E-2</v>
      </c>
      <c r="AR62">
        <v>-2.6640495894103611E-2</v>
      </c>
      <c r="AS62">
        <v>-6.259830145828478E-2</v>
      </c>
      <c r="AT62">
        <v>-0.20569370533912371</v>
      </c>
      <c r="AU62">
        <v>0.3654280427908293</v>
      </c>
      <c r="AV62">
        <v>-4.7497297649801422E-2</v>
      </c>
      <c r="AW62">
        <v>-0.28269074307006881</v>
      </c>
      <c r="AX62">
        <v>-0.25217308674837902</v>
      </c>
    </row>
    <row r="63" spans="1:50" x14ac:dyDescent="0.25">
      <c r="A63">
        <v>-4.4314478369959942E-2</v>
      </c>
      <c r="B63">
        <v>0.31636399882071647</v>
      </c>
      <c r="C63">
        <v>9.7747046317597855E-2</v>
      </c>
      <c r="D63">
        <v>0.42294530525503887</v>
      </c>
      <c r="E63">
        <v>-0.51422875562797732</v>
      </c>
      <c r="F63">
        <v>0.1895450201445194</v>
      </c>
      <c r="G63">
        <v>-2.2882307362001281E-2</v>
      </c>
      <c r="H63">
        <v>0.1081236694419562</v>
      </c>
      <c r="I63">
        <v>-0.15498324136438851</v>
      </c>
      <c r="J63">
        <v>-0.14013268860736511</v>
      </c>
      <c r="K63">
        <v>6.7589825402056783E-2</v>
      </c>
      <c r="L63">
        <v>0.47938370399748498</v>
      </c>
      <c r="M63">
        <v>0.33159816853061252</v>
      </c>
      <c r="N63">
        <v>4.5556097616659104E-3</v>
      </c>
      <c r="O63">
        <v>0.19544724698416099</v>
      </c>
      <c r="P63">
        <v>0.24161345098115669</v>
      </c>
      <c r="Q63">
        <v>0.20032536332527151</v>
      </c>
      <c r="R63">
        <v>-4.6192389053393221E-2</v>
      </c>
      <c r="S63">
        <v>-1.146900156749898E-2</v>
      </c>
      <c r="T63">
        <v>-3.031633434061307E-3</v>
      </c>
      <c r="U63">
        <v>0.14859660742826561</v>
      </c>
      <c r="V63">
        <v>-3.7322905747191007E-2</v>
      </c>
      <c r="W63">
        <v>-0.2276787918825412</v>
      </c>
      <c r="X63">
        <v>4.5186824845152178E-2</v>
      </c>
      <c r="Y63">
        <v>0.50695067207041133</v>
      </c>
      <c r="Z63">
        <v>0.58808535940266315</v>
      </c>
      <c r="AA63">
        <v>0.19544722727359939</v>
      </c>
      <c r="AB63">
        <v>-3.7952035909042753E-2</v>
      </c>
      <c r="AC63">
        <v>-0.1135238977068446</v>
      </c>
      <c r="AD63">
        <v>0.16085799842098969</v>
      </c>
      <c r="AE63">
        <v>0.28735400060901339</v>
      </c>
      <c r="AF63">
        <v>0.50778294925238043</v>
      </c>
      <c r="AG63">
        <v>0.3903033088158554</v>
      </c>
      <c r="AH63">
        <v>-0.29648841382041968</v>
      </c>
      <c r="AI63">
        <v>-0.3879386408557729</v>
      </c>
      <c r="AJ63">
        <v>0.14218600818950961</v>
      </c>
      <c r="AK63">
        <v>-9.8104691202545238E-3</v>
      </c>
      <c r="AL63">
        <v>0.26978956490948491</v>
      </c>
      <c r="AM63">
        <v>0.1342283934269321</v>
      </c>
      <c r="AN63">
        <v>0.39538217794240038</v>
      </c>
      <c r="AO63">
        <v>0.2341093954850435</v>
      </c>
      <c r="AP63">
        <v>0.28412628100685289</v>
      </c>
      <c r="AQ63">
        <v>0.20933776413256511</v>
      </c>
      <c r="AR63">
        <v>0.65991055464511861</v>
      </c>
      <c r="AS63">
        <v>7.0490613496021828E-2</v>
      </c>
      <c r="AT63">
        <v>0.69806528439864857</v>
      </c>
      <c r="AU63">
        <v>0.37361826113159219</v>
      </c>
      <c r="AV63">
        <v>0.50256199892267928</v>
      </c>
      <c r="AW63">
        <v>-0.29186731116420073</v>
      </c>
      <c r="AX63">
        <v>0.22807207357055459</v>
      </c>
    </row>
    <row r="64" spans="1:50" x14ac:dyDescent="0.25">
      <c r="A64">
        <v>-0.25243525406292788</v>
      </c>
      <c r="B64">
        <v>0.46975865093672198</v>
      </c>
      <c r="C64">
        <v>-0.23902483658443449</v>
      </c>
      <c r="D64">
        <v>0.24866300310168249</v>
      </c>
      <c r="E64">
        <v>-0.27340333680286638</v>
      </c>
      <c r="F64">
        <v>8.8419186373882283E-2</v>
      </c>
      <c r="G64">
        <v>-5.8951997118310423E-2</v>
      </c>
      <c r="H64">
        <v>-0.51935650226100882</v>
      </c>
      <c r="I64">
        <v>-0.1103857199992888</v>
      </c>
      <c r="J64">
        <v>-0.27035541556730969</v>
      </c>
      <c r="K64">
        <v>0.24283129952813101</v>
      </c>
      <c r="L64">
        <v>-0.1342389183021265</v>
      </c>
      <c r="M64">
        <v>-0.11795561149712799</v>
      </c>
      <c r="N64">
        <v>0.42864468094779512</v>
      </c>
      <c r="O64">
        <v>-0.28312236578503119</v>
      </c>
      <c r="P64">
        <v>-0.62438577811180107</v>
      </c>
      <c r="Q64">
        <v>-7.5007776460071299E-2</v>
      </c>
      <c r="R64">
        <v>-0.14014936502491671</v>
      </c>
      <c r="S64">
        <v>9.4997610188877063E-2</v>
      </c>
      <c r="T64">
        <v>0.11455722939123721</v>
      </c>
      <c r="U64">
        <v>-0.23572036364211341</v>
      </c>
      <c r="V64">
        <v>-0.34512481869328931</v>
      </c>
      <c r="W64">
        <v>0.23734056085824659</v>
      </c>
      <c r="X64">
        <v>-0.25735556393779219</v>
      </c>
      <c r="Y64">
        <v>-0.499621337815496</v>
      </c>
      <c r="Z64">
        <v>-2.0159212516899679E-2</v>
      </c>
      <c r="AA64">
        <v>0.18783830292336309</v>
      </c>
      <c r="AB64">
        <v>0.4684159008134729</v>
      </c>
      <c r="AC64">
        <v>0.19016283421036259</v>
      </c>
      <c r="AD64">
        <v>-0.231056766840604</v>
      </c>
      <c r="AE64">
        <v>-0.4418035253716488</v>
      </c>
      <c r="AF64">
        <v>-0.21958404692712391</v>
      </c>
      <c r="AG64">
        <v>-5.8824064741016133E-2</v>
      </c>
      <c r="AH64">
        <v>0.39545136962307731</v>
      </c>
      <c r="AI64">
        <v>-6.9669903466971578E-2</v>
      </c>
      <c r="AJ64">
        <v>-2.4377068402737949E-2</v>
      </c>
      <c r="AK64">
        <v>-0.180114085775674</v>
      </c>
      <c r="AL64">
        <v>7.0941048544333168E-2</v>
      </c>
      <c r="AM64">
        <v>0.24564479917563059</v>
      </c>
      <c r="AN64">
        <v>-8.5712346181549826E-3</v>
      </c>
      <c r="AO64">
        <v>0.40388039869132442</v>
      </c>
      <c r="AP64">
        <v>0.33399921423894241</v>
      </c>
      <c r="AQ64">
        <v>-0.28573650648043619</v>
      </c>
      <c r="AR64">
        <v>-2.528281060004401E-3</v>
      </c>
      <c r="AS64">
        <v>-0.23595692825185491</v>
      </c>
      <c r="AT64">
        <v>0.15989124388271839</v>
      </c>
      <c r="AU64">
        <v>0.19662177785562379</v>
      </c>
      <c r="AV64">
        <v>8.9816331152547599E-3</v>
      </c>
      <c r="AW64">
        <v>-0.4278972762613697</v>
      </c>
      <c r="AX64">
        <v>-0.29245297791028679</v>
      </c>
    </row>
    <row r="65" spans="1:50" x14ac:dyDescent="0.25">
      <c r="A65">
        <v>-2.6381665386372929E-2</v>
      </c>
      <c r="B65">
        <v>-3.9201441104650063E-2</v>
      </c>
      <c r="C65">
        <v>-0.1108440409086159</v>
      </c>
      <c r="D65">
        <v>7.7244223611724283E-2</v>
      </c>
      <c r="E65">
        <v>-4.9509991155975937E-2</v>
      </c>
      <c r="F65">
        <v>0.12562687084860741</v>
      </c>
      <c r="G65">
        <v>1.5448898326666981E-2</v>
      </c>
      <c r="H65">
        <v>8.7198864443016985E-2</v>
      </c>
      <c r="I65">
        <v>8.512904710279233E-2</v>
      </c>
      <c r="J65">
        <v>0.20164388211015591</v>
      </c>
      <c r="K65">
        <v>0.2450149243236662</v>
      </c>
      <c r="L65">
        <v>0.1864221301883007</v>
      </c>
      <c r="M65">
        <v>8.3502343558451403E-2</v>
      </c>
      <c r="N65">
        <v>2.99199455414936E-2</v>
      </c>
      <c r="O65">
        <v>0.2184747790406831</v>
      </c>
      <c r="P65">
        <v>-6.306038926073948E-2</v>
      </c>
      <c r="Q65">
        <v>-0.25326848610705321</v>
      </c>
      <c r="R65">
        <v>-4.5918373805915971E-2</v>
      </c>
      <c r="S65">
        <v>6.9175679568617603E-3</v>
      </c>
      <c r="T65">
        <v>3.6963499243581797E-2</v>
      </c>
      <c r="U65">
        <v>0.22583144687662371</v>
      </c>
      <c r="V65">
        <v>-2.7775939100466069E-2</v>
      </c>
      <c r="W65">
        <v>-2.7984370886978301E-2</v>
      </c>
      <c r="X65">
        <v>-2.8259877493674999E-2</v>
      </c>
      <c r="Y65">
        <v>-0.12791958650479729</v>
      </c>
      <c r="Z65">
        <v>4.8888066704922559E-2</v>
      </c>
      <c r="AA65">
        <v>-0.2305679258336189</v>
      </c>
      <c r="AB65">
        <v>-0.13139369746868079</v>
      </c>
      <c r="AC65">
        <v>-3.558888151901396E-2</v>
      </c>
      <c r="AD65">
        <v>5.8619357417806342E-2</v>
      </c>
      <c r="AE65">
        <v>6.1053014321803073E-2</v>
      </c>
      <c r="AF65">
        <v>6.3623584669706731E-2</v>
      </c>
      <c r="AG65">
        <v>-0.10959991090077641</v>
      </c>
      <c r="AH65">
        <v>-4.9498189472641639E-2</v>
      </c>
      <c r="AI65">
        <v>5.8288463468959918E-2</v>
      </c>
      <c r="AJ65">
        <v>0.15732587050563351</v>
      </c>
      <c r="AK65">
        <v>-0.1208535797482089</v>
      </c>
      <c r="AL65">
        <v>0.12314690704567779</v>
      </c>
      <c r="AM65">
        <v>0.1674293575898565</v>
      </c>
      <c r="AN65">
        <v>0.17113732963497799</v>
      </c>
      <c r="AO65">
        <v>9.1604042288597864E-2</v>
      </c>
      <c r="AP65">
        <v>3.3048138748501951E-3</v>
      </c>
      <c r="AQ65">
        <v>0.1007769714165988</v>
      </c>
      <c r="AR65">
        <v>3.1653703566481728E-2</v>
      </c>
      <c r="AS65">
        <v>-0.13385607460228299</v>
      </c>
      <c r="AT65">
        <v>-5.1906730732672712E-2</v>
      </c>
      <c r="AU65">
        <v>-5.2856597859401722E-2</v>
      </c>
      <c r="AV65">
        <v>2.014680495756609E-2</v>
      </c>
      <c r="AW65">
        <v>6.2723736277812803E-2</v>
      </c>
      <c r="AX65">
        <v>-6.7365815840767729E-2</v>
      </c>
    </row>
    <row r="66" spans="1:50" x14ac:dyDescent="0.25">
      <c r="A66">
        <v>2.9471154886061271E-3</v>
      </c>
      <c r="B66">
        <v>-0.60585217446948647</v>
      </c>
      <c r="C66">
        <v>-0.22935007192641799</v>
      </c>
      <c r="D66">
        <v>-0.3954766248057946</v>
      </c>
      <c r="E66">
        <v>0.18540323193903849</v>
      </c>
      <c r="F66">
        <v>0.18526712854303301</v>
      </c>
      <c r="G66">
        <v>0.17598673105841059</v>
      </c>
      <c r="H66">
        <v>0.23844415567017879</v>
      </c>
      <c r="I66">
        <v>-1.196798620722183E-2</v>
      </c>
      <c r="J66">
        <v>-0.45144109842692398</v>
      </c>
      <c r="K66">
        <v>-0.27221855315353499</v>
      </c>
      <c r="L66">
        <v>8.8162430222228874E-2</v>
      </c>
      <c r="M66">
        <v>-0.1047308684544821</v>
      </c>
      <c r="N66">
        <v>-0.34356069138898881</v>
      </c>
      <c r="O66">
        <v>7.6245826208557382E-2</v>
      </c>
      <c r="P66">
        <v>5.8440054093082269E-2</v>
      </c>
      <c r="Q66">
        <v>-0.18595800842335031</v>
      </c>
      <c r="R66">
        <v>-0.18685690744992189</v>
      </c>
      <c r="S66">
        <v>4.063624071098193E-2</v>
      </c>
      <c r="T66">
        <v>-9.9062460805942512E-2</v>
      </c>
      <c r="U66">
        <v>-0.46321375802849118</v>
      </c>
      <c r="V66">
        <v>-0.32272301289633692</v>
      </c>
      <c r="W66">
        <v>0.43814181461216273</v>
      </c>
      <c r="X66">
        <v>-2.2094151826427141E-3</v>
      </c>
      <c r="Y66">
        <v>-0.29202207630731331</v>
      </c>
      <c r="Z66">
        <v>-0.50893896174155451</v>
      </c>
      <c r="AA66">
        <v>-9.3255148974449947E-2</v>
      </c>
      <c r="AB66">
        <v>-0.2208857270962935</v>
      </c>
      <c r="AC66">
        <v>-0.13346856625464401</v>
      </c>
      <c r="AD66">
        <v>0.42449815460872709</v>
      </c>
      <c r="AE66">
        <v>2.855057356484322E-2</v>
      </c>
      <c r="AF66">
        <v>-0.13115374231415911</v>
      </c>
      <c r="AG66">
        <v>0.2646906151128427</v>
      </c>
      <c r="AH66">
        <v>-2.4369665017898341E-2</v>
      </c>
      <c r="AI66">
        <v>0.1106518922986077</v>
      </c>
      <c r="AJ66">
        <v>0.21256512541734829</v>
      </c>
      <c r="AK66">
        <v>-0.57668740434382348</v>
      </c>
      <c r="AL66">
        <v>-0.20884268683489191</v>
      </c>
      <c r="AM66">
        <v>0.20544602824818789</v>
      </c>
      <c r="AN66">
        <v>0.1422387639221416</v>
      </c>
      <c r="AO66">
        <v>-0.16648956001331319</v>
      </c>
      <c r="AP66">
        <v>8.6074816412847713E-2</v>
      </c>
      <c r="AQ66">
        <v>-0.1127131981150174</v>
      </c>
      <c r="AR66">
        <v>-2.5002864154132349E-2</v>
      </c>
      <c r="AS66">
        <v>0.19252702454749321</v>
      </c>
      <c r="AT66">
        <v>3.7461807672499473E-2</v>
      </c>
      <c r="AU66">
        <v>-6.0615401991108542E-2</v>
      </c>
      <c r="AV66">
        <v>-8.1173789790233E-2</v>
      </c>
      <c r="AW66">
        <v>0.23148197317709371</v>
      </c>
      <c r="AX66">
        <v>0.11460965462774871</v>
      </c>
    </row>
    <row r="67" spans="1:50" x14ac:dyDescent="0.25">
      <c r="A67">
        <v>-0.1220703059285578</v>
      </c>
      <c r="B67">
        <v>-2.336436235702305E-2</v>
      </c>
      <c r="C67">
        <v>-0.19803173010980391</v>
      </c>
      <c r="D67">
        <v>-0.18709972311417461</v>
      </c>
      <c r="E67">
        <v>-7.7424851858507657E-2</v>
      </c>
      <c r="F67">
        <v>-2.2219833204035151E-2</v>
      </c>
      <c r="G67">
        <v>-0.21678517763320901</v>
      </c>
      <c r="H67">
        <v>-0.1817023661764561</v>
      </c>
      <c r="I67">
        <v>1.4799218248527811E-2</v>
      </c>
      <c r="J67">
        <v>-0.15483409725078251</v>
      </c>
      <c r="K67">
        <v>3.313567310510647E-2</v>
      </c>
      <c r="L67">
        <v>-0.16016745465130741</v>
      </c>
      <c r="M67">
        <v>-0.27369737353214352</v>
      </c>
      <c r="N67">
        <v>-0.19373512301763299</v>
      </c>
      <c r="O67">
        <v>0.21675791711740269</v>
      </c>
      <c r="P67">
        <v>-0.17379772199108889</v>
      </c>
      <c r="Q67">
        <v>-0.20894653370260499</v>
      </c>
      <c r="R67">
        <v>-0.29471125547239918</v>
      </c>
      <c r="S67">
        <v>0.31650603417438639</v>
      </c>
      <c r="T67">
        <v>-0.17576670629030031</v>
      </c>
      <c r="U67">
        <v>-9.5402587007281953E-3</v>
      </c>
      <c r="V67">
        <v>6.5308966009602468E-2</v>
      </c>
      <c r="W67">
        <v>3.7120736615609773E-2</v>
      </c>
      <c r="X67">
        <v>-0.18824179046698361</v>
      </c>
      <c r="Y67">
        <v>-1.2962469700349279E-2</v>
      </c>
      <c r="Z67">
        <v>-0.1094755367526728</v>
      </c>
      <c r="AA67">
        <v>-8.5266009264559642E-2</v>
      </c>
      <c r="AB67">
        <v>-3.0809142468976081E-2</v>
      </c>
      <c r="AC67">
        <v>8.3271011695604927E-2</v>
      </c>
      <c r="AD67">
        <v>-0.21600795782783541</v>
      </c>
      <c r="AE67">
        <v>-5.6558411822289149E-2</v>
      </c>
      <c r="AF67">
        <v>7.3254383571440734E-2</v>
      </c>
      <c r="AG67">
        <v>0.1288048576734728</v>
      </c>
      <c r="AH67">
        <v>-0.11117301330524131</v>
      </c>
      <c r="AI67">
        <v>-9.8164191450135843E-2</v>
      </c>
      <c r="AJ67">
        <v>0.1050524194230604</v>
      </c>
      <c r="AK67">
        <v>-0.1411981329308965</v>
      </c>
      <c r="AL67">
        <v>-0.14746374217793981</v>
      </c>
      <c r="AM67">
        <v>0.119683840874581</v>
      </c>
      <c r="AN67">
        <v>5.1213597989221087E-2</v>
      </c>
      <c r="AO67">
        <v>-6.4612501182362378E-2</v>
      </c>
      <c r="AP67">
        <v>-0.25424390181362377</v>
      </c>
      <c r="AQ67">
        <v>4.9596622991064439E-2</v>
      </c>
      <c r="AR67">
        <v>-0.1175983788731193</v>
      </c>
      <c r="AS67">
        <v>-0.2131448503795326</v>
      </c>
      <c r="AT67">
        <v>-0.1438804453519566</v>
      </c>
      <c r="AU67">
        <v>-0.13548368992009099</v>
      </c>
      <c r="AV67">
        <v>1.8618023649518721E-2</v>
      </c>
      <c r="AW67">
        <v>-0.192131244181971</v>
      </c>
      <c r="AX67">
        <v>-0.16424693864009671</v>
      </c>
    </row>
    <row r="68" spans="1:50" x14ac:dyDescent="0.25">
      <c r="A68">
        <v>9.2569852694770513E-2</v>
      </c>
      <c r="B68">
        <v>1.089016156269847E-2</v>
      </c>
      <c r="C68">
        <v>-4.2955296963551048E-2</v>
      </c>
      <c r="D68">
        <v>-0.13026248412165689</v>
      </c>
      <c r="E68">
        <v>0.12023425992567199</v>
      </c>
      <c r="F68">
        <v>-0.1583626572034138</v>
      </c>
      <c r="G68">
        <v>2.319579861604034E-2</v>
      </c>
      <c r="H68">
        <v>-0.14299704842193631</v>
      </c>
      <c r="I68">
        <v>0.1018134717787591</v>
      </c>
      <c r="J68">
        <v>0.128672571590698</v>
      </c>
      <c r="K68">
        <v>-1.548507433379091E-2</v>
      </c>
      <c r="L68">
        <v>-0.13396769248857701</v>
      </c>
      <c r="M68">
        <v>-9.2545242900295865E-2</v>
      </c>
      <c r="N68">
        <v>2.5212820405620649E-2</v>
      </c>
      <c r="O68">
        <v>0.1308170421253472</v>
      </c>
      <c r="P68">
        <v>0.1104781668336528</v>
      </c>
      <c r="Q68">
        <v>-0.1155201481246524</v>
      </c>
      <c r="R68">
        <v>0.10144454201990941</v>
      </c>
      <c r="S68">
        <v>-2.020517354264937E-2</v>
      </c>
      <c r="T68">
        <v>0.1307219836106813</v>
      </c>
      <c r="U68">
        <v>0.14356131425955301</v>
      </c>
      <c r="V68">
        <v>0.16030123419618281</v>
      </c>
      <c r="W68">
        <v>0.1102113335358262</v>
      </c>
      <c r="X68">
        <v>5.104072651389977E-3</v>
      </c>
      <c r="Y68">
        <v>2.733961994118056E-2</v>
      </c>
      <c r="Z68">
        <v>-8.8210254676949235E-2</v>
      </c>
      <c r="AA68">
        <v>1.219732647098329E-2</v>
      </c>
      <c r="AB68">
        <v>6.5762993879927123E-2</v>
      </c>
      <c r="AC68">
        <v>-4.1853465597382407E-2</v>
      </c>
      <c r="AD68">
        <v>9.5491298599954477E-2</v>
      </c>
      <c r="AE68">
        <v>6.8691244479300015E-2</v>
      </c>
      <c r="AF68">
        <v>-2.3959344041142961E-2</v>
      </c>
      <c r="AG68">
        <v>-0.13390552747506571</v>
      </c>
      <c r="AH68">
        <v>0.13061563947923921</v>
      </c>
      <c r="AI68">
        <v>0.133015070835654</v>
      </c>
      <c r="AJ68">
        <v>4.7702338865700987E-2</v>
      </c>
      <c r="AK68">
        <v>-9.1819859913557872E-2</v>
      </c>
      <c r="AL68">
        <v>-0.17908986105089339</v>
      </c>
      <c r="AM68">
        <v>-0.1132089792197475</v>
      </c>
      <c r="AN68">
        <v>-8.41491899894488E-2</v>
      </c>
      <c r="AO68">
        <v>9.4067487362506377E-2</v>
      </c>
      <c r="AP68">
        <v>-6.2142478653023907E-2</v>
      </c>
      <c r="AQ68">
        <v>0.1624739095316802</v>
      </c>
      <c r="AR68">
        <v>-6.1834241918754737E-2</v>
      </c>
      <c r="AS68">
        <v>0.15022126273173031</v>
      </c>
      <c r="AT68">
        <v>9.0560264298130619E-2</v>
      </c>
      <c r="AU68">
        <v>-5.7088564566919513E-2</v>
      </c>
      <c r="AV68">
        <v>-3.03090245848298E-2</v>
      </c>
      <c r="AW68">
        <v>-1.7997777846915981E-2</v>
      </c>
      <c r="AX68">
        <v>7.4459618019905333E-2</v>
      </c>
    </row>
    <row r="69" spans="1:50" x14ac:dyDescent="0.25">
      <c r="A69">
        <v>-0.18148499482754829</v>
      </c>
      <c r="B69">
        <v>-0.24782047698221121</v>
      </c>
      <c r="C69">
        <v>8.1260328930334427E-2</v>
      </c>
      <c r="D69">
        <v>0.20378247981672229</v>
      </c>
      <c r="E69">
        <v>-8.6473027267688594E-3</v>
      </c>
      <c r="F69">
        <v>-3.8251943530289809E-2</v>
      </c>
      <c r="G69">
        <v>-5.5930044659645337E-2</v>
      </c>
      <c r="H69">
        <v>0.1639835181155184</v>
      </c>
      <c r="I69">
        <v>0.22717804264026489</v>
      </c>
      <c r="J69">
        <v>-4.0243781931348409E-3</v>
      </c>
      <c r="K69">
        <v>-0.1126392947834456</v>
      </c>
      <c r="L69">
        <v>9.2869675102229043E-2</v>
      </c>
      <c r="M69">
        <v>-0.1472246465424675</v>
      </c>
      <c r="N69">
        <v>0.1380922956048892</v>
      </c>
      <c r="O69">
        <v>0.44019461688784278</v>
      </c>
      <c r="P69">
        <v>-6.3256335475217099E-2</v>
      </c>
      <c r="Q69">
        <v>-1.18164411280048E-2</v>
      </c>
      <c r="R69">
        <v>5.201233294727698E-2</v>
      </c>
      <c r="S69">
        <v>0.1021357800598378</v>
      </c>
      <c r="T69">
        <v>-0.10896812399089879</v>
      </c>
      <c r="U69">
        <v>0.16048944917860719</v>
      </c>
      <c r="V69">
        <v>-5.0805907708876292E-3</v>
      </c>
      <c r="W69">
        <v>0.13639348781823379</v>
      </c>
      <c r="X69">
        <v>-6.9235322857297291E-2</v>
      </c>
      <c r="Y69">
        <v>0.17049435204763491</v>
      </c>
      <c r="Z69">
        <v>-0.16597692548173379</v>
      </c>
      <c r="AA69">
        <v>0.18774755991442429</v>
      </c>
      <c r="AB69">
        <v>-3.833242674720725E-2</v>
      </c>
      <c r="AC69">
        <v>0.1023136064559033</v>
      </c>
      <c r="AD69">
        <v>0.31969662987004432</v>
      </c>
      <c r="AE69">
        <v>-6.4198359898280252E-2</v>
      </c>
      <c r="AF69">
        <v>-0.1618041449534329</v>
      </c>
      <c r="AG69">
        <v>-4.9737554436228362E-2</v>
      </c>
      <c r="AH69">
        <v>-0.18258376537625079</v>
      </c>
      <c r="AI69">
        <v>0.21904168864431059</v>
      </c>
      <c r="AJ69">
        <v>-0.13724681064583061</v>
      </c>
      <c r="AK69">
        <v>-0.14648270830499091</v>
      </c>
      <c r="AL69">
        <v>0.124783957816285</v>
      </c>
      <c r="AM69">
        <v>0.1166107054650397</v>
      </c>
      <c r="AN69">
        <v>0.12000469276669851</v>
      </c>
      <c r="AO69">
        <v>-0.1049755555203776</v>
      </c>
      <c r="AP69">
        <v>1.5385825699045759E-2</v>
      </c>
      <c r="AQ69">
        <v>-3.9552276564887009E-2</v>
      </c>
      <c r="AR69">
        <v>4.9324035932457599E-2</v>
      </c>
      <c r="AS69">
        <v>-7.5700119131486207E-2</v>
      </c>
      <c r="AT69">
        <v>-7.4848957796920523E-2</v>
      </c>
      <c r="AU69">
        <v>0.31616169491115009</v>
      </c>
      <c r="AV69">
        <v>2.9113854011360459E-2</v>
      </c>
      <c r="AW69">
        <v>0.18166260915190041</v>
      </c>
      <c r="AX69">
        <v>-0.1726552919056395</v>
      </c>
    </row>
    <row r="70" spans="1:50" x14ac:dyDescent="0.25">
      <c r="A70">
        <v>-2.5576767983664601E-2</v>
      </c>
      <c r="B70">
        <v>9.3785140976688039E-2</v>
      </c>
      <c r="C70">
        <v>0.18184840603636299</v>
      </c>
      <c r="D70">
        <v>-0.25056962883796641</v>
      </c>
      <c r="E70">
        <v>-0.24660062850401429</v>
      </c>
      <c r="F70">
        <v>0.1005099772955908</v>
      </c>
      <c r="G70">
        <v>-0.2104122098047049</v>
      </c>
      <c r="H70">
        <v>-3.0271786601901381E-2</v>
      </c>
      <c r="I70">
        <v>0.30233828913854022</v>
      </c>
      <c r="J70">
        <v>0.14565685030253039</v>
      </c>
      <c r="K70">
        <v>-0.29111977312104442</v>
      </c>
      <c r="L70">
        <v>-6.1486503086391427E-2</v>
      </c>
      <c r="M70">
        <v>0.35899646137865399</v>
      </c>
      <c r="N70">
        <v>0.41010446652687049</v>
      </c>
      <c r="O70">
        <v>6.1015648522210912E-2</v>
      </c>
      <c r="P70">
        <v>0.51931929228357554</v>
      </c>
      <c r="Q70">
        <v>5.3732559656531072E-2</v>
      </c>
      <c r="R70">
        <v>0.15698532930029491</v>
      </c>
      <c r="S70">
        <v>0.16440552930049879</v>
      </c>
      <c r="T70">
        <v>-0.2038964761632058</v>
      </c>
      <c r="U70">
        <v>1.9274172286690091E-2</v>
      </c>
      <c r="V70">
        <v>-0.35563297202459432</v>
      </c>
      <c r="W70">
        <v>-1.379153694309568E-2</v>
      </c>
      <c r="X70">
        <v>-0.24200601272714051</v>
      </c>
      <c r="Y70">
        <v>0.4744043508100283</v>
      </c>
      <c r="Z70">
        <v>4.1755352694101813E-2</v>
      </c>
      <c r="AA70">
        <v>9.5479312647230571E-2</v>
      </c>
      <c r="AB70">
        <v>0.1850004713174056</v>
      </c>
      <c r="AC70">
        <v>-0.2968199880699034</v>
      </c>
      <c r="AD70">
        <v>-7.9603414647721749E-2</v>
      </c>
      <c r="AE70">
        <v>-0.32596894827294343</v>
      </c>
      <c r="AF70">
        <v>0.29574780184458987</v>
      </c>
      <c r="AG70">
        <v>1.2496907688546209E-2</v>
      </c>
      <c r="AH70">
        <v>-7.631428102196987E-3</v>
      </c>
      <c r="AI70">
        <v>0.1626861451665014</v>
      </c>
      <c r="AJ70">
        <v>0.19356169841467849</v>
      </c>
      <c r="AK70">
        <v>-0.1977481904331099</v>
      </c>
      <c r="AL70">
        <v>0.19692657127345231</v>
      </c>
      <c r="AM70">
        <v>0.11875849726534581</v>
      </c>
      <c r="AN70">
        <v>-0.10835752011443441</v>
      </c>
      <c r="AO70">
        <v>-1.962104239498275E-2</v>
      </c>
      <c r="AP70">
        <v>-0.1905323026232649</v>
      </c>
      <c r="AQ70">
        <v>-0.1109694881642352</v>
      </c>
      <c r="AR70">
        <v>0.11638578361581101</v>
      </c>
      <c r="AS70">
        <v>-0.33677410155244519</v>
      </c>
      <c r="AT70">
        <v>-0.25793223538109811</v>
      </c>
      <c r="AU70">
        <v>6.8692341542555435E-2</v>
      </c>
      <c r="AV70">
        <v>0.30791300123079651</v>
      </c>
      <c r="AW70">
        <v>-2.6713581924257459E-2</v>
      </c>
      <c r="AX70">
        <v>-0.14421534950172371</v>
      </c>
    </row>
    <row r="71" spans="1:50" x14ac:dyDescent="0.25">
      <c r="A71">
        <v>-0.1237385149184521</v>
      </c>
      <c r="B71">
        <v>-0.4352033511982108</v>
      </c>
      <c r="C71">
        <v>-6.0456472810347009E-2</v>
      </c>
      <c r="D71">
        <v>-0.46273529310113498</v>
      </c>
      <c r="E71">
        <v>0.35211873190397891</v>
      </c>
      <c r="F71">
        <v>0.29090031283469192</v>
      </c>
      <c r="G71">
        <v>0.33078619852133773</v>
      </c>
      <c r="H71">
        <v>0.30451572457711079</v>
      </c>
      <c r="I71">
        <v>0.12522178217229141</v>
      </c>
      <c r="J71">
        <v>-0.6219335027659233</v>
      </c>
      <c r="K71">
        <v>-0.41076085942141172</v>
      </c>
      <c r="L71">
        <v>-4.0035566918901991E-2</v>
      </c>
      <c r="M71">
        <v>9.5758068611724367E-2</v>
      </c>
      <c r="N71">
        <v>-0.18862926942539279</v>
      </c>
      <c r="O71">
        <v>2.5019032467636339E-2</v>
      </c>
      <c r="P71">
        <v>0.20792858878283421</v>
      </c>
      <c r="Q71">
        <v>-0.31304919295962502</v>
      </c>
      <c r="R71">
        <v>-0.2755130691367273</v>
      </c>
      <c r="S71">
        <v>-0.1440243113939034</v>
      </c>
      <c r="T71">
        <v>-9.9201264710513812E-2</v>
      </c>
      <c r="U71">
        <v>-0.65232600101169014</v>
      </c>
      <c r="V71">
        <v>-0.47962905565023178</v>
      </c>
      <c r="W71">
        <v>0.27824453216278072</v>
      </c>
      <c r="X71">
        <v>-8.3041239251798959E-2</v>
      </c>
      <c r="Y71">
        <v>-0.46076707062693439</v>
      </c>
      <c r="Z71">
        <v>-0.64701538684431348</v>
      </c>
      <c r="AA71">
        <v>-3.1375250381421117E-2</v>
      </c>
      <c r="AB71">
        <v>-0.241769865117762</v>
      </c>
      <c r="AC71">
        <v>9.8685281332031388E-2</v>
      </c>
      <c r="AD71">
        <v>0.35571999204207111</v>
      </c>
      <c r="AE71">
        <v>3.8224184701080799E-2</v>
      </c>
      <c r="AF71">
        <v>-9.0161799127483358E-2</v>
      </c>
      <c r="AG71">
        <v>0.12902484298486139</v>
      </c>
      <c r="AH71">
        <v>-0.34549503904362289</v>
      </c>
      <c r="AI71">
        <v>0.14002814943796321</v>
      </c>
      <c r="AJ71">
        <v>0.30095503151290343</v>
      </c>
      <c r="AK71">
        <v>-0.47464385542262888</v>
      </c>
      <c r="AL71">
        <v>-0.23115482985880231</v>
      </c>
      <c r="AM71">
        <v>-5.120075952737347E-2</v>
      </c>
      <c r="AN71">
        <v>0.14359828615315251</v>
      </c>
      <c r="AO71">
        <v>-6.0080223714594087E-2</v>
      </c>
      <c r="AP71">
        <v>3.8225819017835817E-2</v>
      </c>
      <c r="AQ71">
        <v>-0.43091789756746668</v>
      </c>
      <c r="AR71">
        <v>-4.518572617915375E-2</v>
      </c>
      <c r="AS71">
        <v>0.1583448420151197</v>
      </c>
      <c r="AT71">
        <v>7.7831646133300875E-2</v>
      </c>
      <c r="AU71">
        <v>-0.1165243121357846</v>
      </c>
      <c r="AV71">
        <v>5.9536408019473692E-2</v>
      </c>
      <c r="AW71">
        <v>0.33769000796496212</v>
      </c>
      <c r="AX71">
        <v>0.1335733089097462</v>
      </c>
    </row>
    <row r="72" spans="1:50" x14ac:dyDescent="0.25">
      <c r="A72">
        <v>-7.9279242974901548E-2</v>
      </c>
      <c r="B72">
        <v>1.35947970105426E-2</v>
      </c>
      <c r="C72">
        <v>-7.1478612792763088E-2</v>
      </c>
      <c r="D72">
        <v>0.11247091635794471</v>
      </c>
      <c r="E72">
        <v>9.8212697724705977E-2</v>
      </c>
      <c r="F72">
        <v>0.17848113188930009</v>
      </c>
      <c r="G72">
        <v>-6.0993665655982368E-2</v>
      </c>
      <c r="H72">
        <v>-6.4503129116450286E-2</v>
      </c>
      <c r="I72">
        <v>-0.1206983117470148</v>
      </c>
      <c r="J72">
        <v>8.2891408760844124E-2</v>
      </c>
      <c r="K72">
        <v>-0.19540942124596211</v>
      </c>
      <c r="L72">
        <v>-0.19908518539737591</v>
      </c>
      <c r="M72">
        <v>-8.514485055665319E-2</v>
      </c>
      <c r="N72">
        <v>-6.7854724639521288E-2</v>
      </c>
      <c r="O72">
        <v>-0.1226743055202185</v>
      </c>
      <c r="P72">
        <v>0.17035218656281939</v>
      </c>
      <c r="Q72">
        <v>-0.16295256926242199</v>
      </c>
      <c r="R72">
        <v>7.1310385941546831E-2</v>
      </c>
      <c r="S72">
        <v>0.33557589175385988</v>
      </c>
      <c r="T72">
        <v>1.7300518429605391E-3</v>
      </c>
      <c r="U72">
        <v>-3.9615141841645982E-2</v>
      </c>
      <c r="V72">
        <v>-0.1469025210769262</v>
      </c>
      <c r="W72">
        <v>0.37934476129130812</v>
      </c>
      <c r="X72">
        <v>0.24233415546618639</v>
      </c>
      <c r="Y72">
        <v>-9.4585629170942417E-2</v>
      </c>
      <c r="Z72">
        <v>0.26033665762907299</v>
      </c>
      <c r="AA72">
        <v>-4.0778154722148331E-2</v>
      </c>
      <c r="AB72">
        <v>-0.14754826557079839</v>
      </c>
      <c r="AC72">
        <v>5.0703865290147157E-2</v>
      </c>
      <c r="AD72">
        <v>-2.000428455206707E-2</v>
      </c>
      <c r="AE72">
        <v>2.8324200125381279E-2</v>
      </c>
      <c r="AF72">
        <v>-7.4758344286320277E-2</v>
      </c>
      <c r="AG72">
        <v>-0.13909630280458729</v>
      </c>
      <c r="AH72">
        <v>-0.18480180019048581</v>
      </c>
      <c r="AI72">
        <v>-0.22967594007730241</v>
      </c>
      <c r="AJ72">
        <v>0.1713109580914173</v>
      </c>
      <c r="AK72">
        <v>0.26170445154509731</v>
      </c>
      <c r="AL72">
        <v>-0.16214182817987791</v>
      </c>
      <c r="AM72">
        <v>-0.2112175441450071</v>
      </c>
      <c r="AN72">
        <v>-0.12602546050946661</v>
      </c>
      <c r="AO72">
        <v>-0.13576188899583591</v>
      </c>
      <c r="AP72">
        <v>-0.10420665491894809</v>
      </c>
      <c r="AQ72">
        <v>3.2458481038770103E-2</v>
      </c>
      <c r="AR72">
        <v>0.15238463282057901</v>
      </c>
      <c r="AS72">
        <v>-0.14688752828021909</v>
      </c>
      <c r="AT72">
        <v>-0.1873884644842399</v>
      </c>
      <c r="AU72">
        <v>0.3114739744101232</v>
      </c>
      <c r="AV72">
        <v>0.205080406122572</v>
      </c>
      <c r="AW72">
        <v>4.6776999750924031E-2</v>
      </c>
      <c r="AX72">
        <v>0.31443065345436022</v>
      </c>
    </row>
    <row r="73" spans="1:50" x14ac:dyDescent="0.25">
      <c r="A73">
        <v>1.182989346054155E-2</v>
      </c>
      <c r="B73">
        <v>3.07307990288599E-2</v>
      </c>
      <c r="C73">
        <v>-2.2820731226943091E-3</v>
      </c>
      <c r="D73">
        <v>3.3777248890647843E-2</v>
      </c>
      <c r="E73">
        <v>2.7782871573479358E-3</v>
      </c>
      <c r="F73">
        <v>2.4909600355021409E-2</v>
      </c>
      <c r="G73">
        <v>1.6741758429113681E-2</v>
      </c>
      <c r="H73">
        <v>6.2092062204072386E-3</v>
      </c>
      <c r="I73">
        <v>1.1200689825311441E-2</v>
      </c>
      <c r="J73">
        <v>2.343793961345314E-2</v>
      </c>
      <c r="K73">
        <v>3.4202504528167782E-2</v>
      </c>
      <c r="L73">
        <v>-1.377097861247435E-2</v>
      </c>
      <c r="M73">
        <v>3.669827492798796E-2</v>
      </c>
      <c r="N73">
        <v>5.4244386921844058E-2</v>
      </c>
      <c r="O73">
        <v>5.8810169398443177E-2</v>
      </c>
      <c r="P73">
        <v>1.9439434190685379E-2</v>
      </c>
      <c r="Q73">
        <v>8.7040555519759658E-2</v>
      </c>
      <c r="R73">
        <v>4.4882962260020962E-2</v>
      </c>
      <c r="S73">
        <v>1.7824422743240049E-2</v>
      </c>
      <c r="T73">
        <v>2.2716651216083659E-2</v>
      </c>
      <c r="U73">
        <v>2.8672699056392959E-2</v>
      </c>
      <c r="V73">
        <v>2.05718131650524E-2</v>
      </c>
      <c r="W73">
        <v>2.4236776198483721E-2</v>
      </c>
      <c r="X73">
        <v>2.0498292367985582E-3</v>
      </c>
      <c r="Y73">
        <v>8.8323114899445263E-2</v>
      </c>
      <c r="Z73">
        <v>0.103655446016056</v>
      </c>
      <c r="AA73">
        <v>6.0625700206428129E-2</v>
      </c>
      <c r="AB73">
        <v>4.3436950140808853E-2</v>
      </c>
      <c r="AC73">
        <v>6.7847382949491426E-3</v>
      </c>
      <c r="AD73">
        <v>-7.0929887423663573E-3</v>
      </c>
      <c r="AE73">
        <v>6.2363270403841299E-2</v>
      </c>
      <c r="AF73">
        <v>-2.006734252497297E-2</v>
      </c>
      <c r="AG73">
        <v>5.6805025150759227E-2</v>
      </c>
      <c r="AH73">
        <v>1.115413979854693E-2</v>
      </c>
      <c r="AI73">
        <v>2.9197866044954789E-2</v>
      </c>
      <c r="AJ73">
        <v>4.4727054262570128E-2</v>
      </c>
      <c r="AK73">
        <v>-1.0290225121659431E-2</v>
      </c>
      <c r="AL73">
        <v>2.7990520681570631E-2</v>
      </c>
      <c r="AM73">
        <v>1.7283380519324851E-2</v>
      </c>
      <c r="AN73">
        <v>1.1299831953427269E-2</v>
      </c>
      <c r="AO73">
        <v>-6.349881410286546E-3</v>
      </c>
      <c r="AP73">
        <v>-2.9035072732841651E-2</v>
      </c>
      <c r="AQ73">
        <v>-1.203908969837369E-2</v>
      </c>
      <c r="AR73">
        <v>3.8302700103444373E-2</v>
      </c>
      <c r="AS73">
        <v>2.9061925526855239E-2</v>
      </c>
      <c r="AT73">
        <v>7.7688778458860474E-3</v>
      </c>
      <c r="AU73">
        <v>4.8512185397662992E-2</v>
      </c>
      <c r="AV73">
        <v>3.2491918052891172E-2</v>
      </c>
      <c r="AW73">
        <v>2.908253731096825E-2</v>
      </c>
      <c r="AX73">
        <v>1.7420156550881579E-2</v>
      </c>
    </row>
    <row r="74" spans="1:50" x14ac:dyDescent="0.25">
      <c r="A74">
        <v>-1.649506619049142E-2</v>
      </c>
      <c r="B74">
        <v>-0.19559110979507049</v>
      </c>
      <c r="C74">
        <v>-8.9267379108843414E-2</v>
      </c>
      <c r="D74">
        <v>3.4664459213829407E-2</v>
      </c>
      <c r="E74">
        <v>0.19647254363857539</v>
      </c>
      <c r="F74">
        <v>0.23698248308245709</v>
      </c>
      <c r="G74">
        <v>6.5529981882604643E-2</v>
      </c>
      <c r="H74">
        <v>4.8598838624253717E-2</v>
      </c>
      <c r="I74">
        <v>-7.4185673058491969E-2</v>
      </c>
      <c r="J74">
        <v>0.13339391875679141</v>
      </c>
      <c r="K74">
        <v>0.12391761223688361</v>
      </c>
      <c r="L74">
        <v>-3.8878825886516193E-2</v>
      </c>
      <c r="M74">
        <v>0.1476008848022112</v>
      </c>
      <c r="N74">
        <v>-1.1183321992003651E-2</v>
      </c>
      <c r="O74">
        <v>0.13970458906229871</v>
      </c>
      <c r="P74">
        <v>0.2025890235948829</v>
      </c>
      <c r="Q74">
        <v>0.2171614770755094</v>
      </c>
      <c r="R74">
        <v>0.30959725808847849</v>
      </c>
      <c r="S74">
        <v>9.0253644455073279E-2</v>
      </c>
      <c r="T74">
        <v>-9.8587453628890005E-3</v>
      </c>
      <c r="U74">
        <v>-0.22146372117073029</v>
      </c>
      <c r="V74">
        <v>0.22083529519616801</v>
      </c>
      <c r="W74">
        <v>3.3914700087497938E-2</v>
      </c>
      <c r="X74">
        <v>-2.7237078052037261E-2</v>
      </c>
      <c r="Y74">
        <v>0.20362996071245751</v>
      </c>
      <c r="Z74">
        <v>0.1940922852008243</v>
      </c>
      <c r="AA74">
        <v>0.12790314803887051</v>
      </c>
      <c r="AB74">
        <v>-1.4534298997504001E-2</v>
      </c>
      <c r="AC74">
        <v>-2.17246126654302E-3</v>
      </c>
      <c r="AD74">
        <v>-0.1032547267935916</v>
      </c>
      <c r="AE74">
        <v>4.5387684477537417E-2</v>
      </c>
      <c r="AF74">
        <v>6.6110225620448868E-2</v>
      </c>
      <c r="AG74">
        <v>0.17755475294587189</v>
      </c>
      <c r="AH74">
        <v>-1.6947987677128021E-2</v>
      </c>
      <c r="AI74">
        <v>-2.4293941708323171E-3</v>
      </c>
      <c r="AJ74">
        <v>0.1051711545660643</v>
      </c>
      <c r="AK74">
        <v>0.1742187538819758</v>
      </c>
      <c r="AL74">
        <v>0.13183700307275059</v>
      </c>
      <c r="AM74">
        <v>-0.1004955006826837</v>
      </c>
      <c r="AN74">
        <v>6.5127684328928764E-2</v>
      </c>
      <c r="AO74">
        <v>3.9995989407875937E-2</v>
      </c>
      <c r="AP74">
        <v>5.2763833911969947E-2</v>
      </c>
      <c r="AQ74">
        <v>-7.293207033510346E-2</v>
      </c>
      <c r="AR74">
        <v>0.1105135764404096</v>
      </c>
      <c r="AS74">
        <v>0.13476627541467739</v>
      </c>
      <c r="AT74">
        <v>0.1172866255897459</v>
      </c>
      <c r="AU74">
        <v>0.20926149386457299</v>
      </c>
      <c r="AV74">
        <v>8.8779258257510402E-2</v>
      </c>
      <c r="AW74">
        <v>4.2025003288246862E-2</v>
      </c>
      <c r="AX74">
        <v>4.143072465363408E-2</v>
      </c>
    </row>
    <row r="75" spans="1:50" x14ac:dyDescent="0.25">
      <c r="A75">
        <v>6.8273943571667398E-2</v>
      </c>
      <c r="B75">
        <v>0.22227523433472851</v>
      </c>
      <c r="C75">
        <v>-0.15798666663699171</v>
      </c>
      <c r="D75">
        <v>-6.5515439403606671E-2</v>
      </c>
      <c r="E75">
        <v>8.598968315422427E-2</v>
      </c>
      <c r="F75">
        <v>-3.4214108996629231E-2</v>
      </c>
      <c r="G75">
        <v>-0.1106824715292186</v>
      </c>
      <c r="H75">
        <v>-6.3828950674985563E-2</v>
      </c>
      <c r="I75">
        <v>3.2113238421128589E-3</v>
      </c>
      <c r="J75">
        <v>0.1384448243340268</v>
      </c>
      <c r="K75">
        <v>-1.232487717210543E-2</v>
      </c>
      <c r="L75">
        <v>-4.2831773804173433E-2</v>
      </c>
      <c r="M75">
        <v>0.19206901674505811</v>
      </c>
      <c r="N75">
        <v>0.20732731062164519</v>
      </c>
      <c r="O75">
        <v>6.9972733889385422E-2</v>
      </c>
      <c r="P75">
        <v>0.19739458779943361</v>
      </c>
      <c r="Q75">
        <v>-9.0721045504603526E-2</v>
      </c>
      <c r="R75">
        <v>1.5909976730131281E-2</v>
      </c>
      <c r="S75">
        <v>-7.0768912617581628E-2</v>
      </c>
      <c r="T75">
        <v>8.2746419123770051E-2</v>
      </c>
      <c r="U75">
        <v>3.0134063753262979E-2</v>
      </c>
      <c r="V75">
        <v>0.37227707488761858</v>
      </c>
      <c r="W75">
        <v>-9.3054814638210415E-3</v>
      </c>
      <c r="X75">
        <v>6.1285930705765029E-3</v>
      </c>
      <c r="Y75">
        <v>0.17172871396740849</v>
      </c>
      <c r="Z75">
        <v>0.21056725455411879</v>
      </c>
      <c r="AA75">
        <v>-0.14095550898237719</v>
      </c>
      <c r="AB75">
        <v>-4.396185898339864E-2</v>
      </c>
      <c r="AC75">
        <v>-5.6380866983222599E-3</v>
      </c>
      <c r="AD75">
        <v>0.2021862517831079</v>
      </c>
      <c r="AE75">
        <v>-4.4206911711286843E-2</v>
      </c>
      <c r="AF75">
        <v>0.14416621949593769</v>
      </c>
      <c r="AG75">
        <v>-4.6649230911768619E-2</v>
      </c>
      <c r="AH75">
        <v>0.1140839226332533</v>
      </c>
      <c r="AI75">
        <v>0.1360175423844531</v>
      </c>
      <c r="AJ75">
        <v>7.4619592433764606E-2</v>
      </c>
      <c r="AK75">
        <v>-0.13340715491958571</v>
      </c>
      <c r="AL75">
        <v>8.1213713709720955E-2</v>
      </c>
      <c r="AM75">
        <v>0.1196009638680343</v>
      </c>
      <c r="AN75">
        <v>-1.6642526376717669E-2</v>
      </c>
      <c r="AO75">
        <v>8.1979457058538457E-2</v>
      </c>
      <c r="AP75">
        <v>-0.24346235170588329</v>
      </c>
      <c r="AQ75">
        <v>0.1449482879904552</v>
      </c>
      <c r="AR75">
        <v>3.6891872522926687E-2</v>
      </c>
      <c r="AS75">
        <v>0.16272397998912941</v>
      </c>
      <c r="AT75">
        <v>0.1212405365071651</v>
      </c>
      <c r="AU75">
        <v>0.16860617779702361</v>
      </c>
      <c r="AV75">
        <v>-9.6780814579837185E-2</v>
      </c>
      <c r="AW75">
        <v>1.7230542195547691E-2</v>
      </c>
      <c r="AX75">
        <v>-2.8147341890203501E-2</v>
      </c>
    </row>
    <row r="76" spans="1:50" x14ac:dyDescent="0.25">
      <c r="A76">
        <v>3.7676345623592032E-3</v>
      </c>
      <c r="B76">
        <v>-1.3788382549653901E-2</v>
      </c>
      <c r="C76">
        <v>4.4302035473587582E-2</v>
      </c>
      <c r="D76">
        <v>6.6365832517106038E-2</v>
      </c>
      <c r="E76">
        <v>7.6576544462356788E-2</v>
      </c>
      <c r="F76">
        <v>-9.7631274133391746E-2</v>
      </c>
      <c r="G76">
        <v>-0.1338107305762212</v>
      </c>
      <c r="H76">
        <v>-6.8775373411461463E-2</v>
      </c>
      <c r="I76">
        <v>7.275550386292437E-2</v>
      </c>
      <c r="J76">
        <v>7.8748198040575271E-2</v>
      </c>
      <c r="K76">
        <v>5.6902443292388798E-2</v>
      </c>
      <c r="L76">
        <v>1.317005758896678E-2</v>
      </c>
      <c r="M76">
        <v>2.465988564728867E-2</v>
      </c>
      <c r="N76">
        <v>8.8643318229764984E-2</v>
      </c>
      <c r="O76">
        <v>-7.7625975062349042E-2</v>
      </c>
      <c r="P76">
        <v>-3.8386112072247139E-2</v>
      </c>
      <c r="Q76">
        <v>7.2431627530151685E-2</v>
      </c>
      <c r="R76">
        <v>-2.9641290631449841E-2</v>
      </c>
      <c r="S76">
        <v>-8.1440028673244486E-2</v>
      </c>
      <c r="T76">
        <v>7.845028333040082E-3</v>
      </c>
      <c r="U76">
        <v>2.5634636300883851E-2</v>
      </c>
      <c r="V76">
        <v>8.0595593999144288E-2</v>
      </c>
      <c r="W76">
        <v>7.6861580619849754E-2</v>
      </c>
      <c r="X76">
        <v>5.8783060711835158E-2</v>
      </c>
      <c r="Y76">
        <v>7.6806897027583976E-2</v>
      </c>
      <c r="Z76">
        <v>0.1235356266900728</v>
      </c>
      <c r="AA76">
        <v>-8.835119228524739E-2</v>
      </c>
      <c r="AB76">
        <v>-2.6780696718897148E-3</v>
      </c>
      <c r="AC76">
        <v>4.858684666254811E-2</v>
      </c>
      <c r="AD76">
        <v>3.0233341629644139E-2</v>
      </c>
      <c r="AE76">
        <v>2.4928611660342239E-2</v>
      </c>
      <c r="AF76">
        <v>-0.1175954325241932</v>
      </c>
      <c r="AG76">
        <v>-1.8433196532868349E-2</v>
      </c>
      <c r="AH76">
        <v>-4.3747341232183372E-2</v>
      </c>
      <c r="AI76">
        <v>8.8372554539896217E-2</v>
      </c>
      <c r="AJ76">
        <v>3.9582948449618627E-2</v>
      </c>
      <c r="AK76">
        <v>-9.0745323359868638E-2</v>
      </c>
      <c r="AL76">
        <v>5.6381457575082151E-2</v>
      </c>
      <c r="AM76">
        <v>-6.2413822982884393E-2</v>
      </c>
      <c r="AN76">
        <v>9.893756381041266E-2</v>
      </c>
      <c r="AO76">
        <v>3.4150902388718568E-2</v>
      </c>
      <c r="AP76">
        <v>-2.2333186627195651E-2</v>
      </c>
      <c r="AQ76">
        <v>-7.3562729540917082E-2</v>
      </c>
      <c r="AR76">
        <v>6.6437526952027828E-2</v>
      </c>
      <c r="AS76">
        <v>-8.5936966540931567E-2</v>
      </c>
      <c r="AT76">
        <v>-7.1158962722649094E-3</v>
      </c>
      <c r="AU76">
        <v>4.8446661777170899E-2</v>
      </c>
      <c r="AV76">
        <v>1.509136075415698E-2</v>
      </c>
      <c r="AW76">
        <v>1.559551138844179E-2</v>
      </c>
      <c r="AX76">
        <v>-6.7820482846772294E-3</v>
      </c>
    </row>
    <row r="77" spans="1:50" x14ac:dyDescent="0.25">
      <c r="A77">
        <v>0.14579470248581949</v>
      </c>
      <c r="B77">
        <v>-0.17853315842979789</v>
      </c>
      <c r="C77">
        <v>-9.3617694429352638E-3</v>
      </c>
      <c r="D77">
        <v>0.22835092356168479</v>
      </c>
      <c r="E77">
        <v>-0.19625746164451641</v>
      </c>
      <c r="F77">
        <v>0.23341983473212161</v>
      </c>
      <c r="G77">
        <v>0.19928048809187959</v>
      </c>
      <c r="H77">
        <v>-7.7468887117078014E-2</v>
      </c>
      <c r="I77">
        <v>0.1635724774951931</v>
      </c>
      <c r="J77">
        <v>7.4887760446261609E-2</v>
      </c>
      <c r="K77">
        <v>4.8935817811473978E-2</v>
      </c>
      <c r="L77">
        <v>-6.8700033930872262E-2</v>
      </c>
      <c r="M77">
        <v>0.19089378771710031</v>
      </c>
      <c r="N77">
        <v>5.0684057949899948E-2</v>
      </c>
      <c r="O77">
        <v>-4.5184297536017659E-2</v>
      </c>
      <c r="P77">
        <v>9.3650980296268341E-4</v>
      </c>
      <c r="Q77">
        <v>-5.4062615976350009E-2</v>
      </c>
      <c r="R77">
        <v>3.3213549378066157E-2</v>
      </c>
      <c r="S77">
        <v>-6.8163469325629056E-2</v>
      </c>
      <c r="T77">
        <v>-3.6096021713986751E-2</v>
      </c>
      <c r="U77">
        <v>0.12399869305390281</v>
      </c>
      <c r="V77">
        <v>0.23244181101332939</v>
      </c>
      <c r="W77">
        <v>-1.126512743717786E-3</v>
      </c>
      <c r="X77">
        <v>8.7728861157382338E-3</v>
      </c>
      <c r="Y77">
        <v>-0.12739052640984619</v>
      </c>
      <c r="Z77">
        <v>-0.33618008562425772</v>
      </c>
      <c r="AA77">
        <v>-2.0809708956212859E-2</v>
      </c>
      <c r="AB77">
        <v>-2.137845667878701E-2</v>
      </c>
      <c r="AC77">
        <v>-5.2564844000609012E-2</v>
      </c>
      <c r="AD77">
        <v>9.455806146959251E-3</v>
      </c>
      <c r="AE77">
        <v>0.2429172471887231</v>
      </c>
      <c r="AF77">
        <v>-1.5753806351845669E-2</v>
      </c>
      <c r="AG77">
        <v>0.28367760071053899</v>
      </c>
      <c r="AH77">
        <v>-9.8480259814664323E-2</v>
      </c>
      <c r="AI77">
        <v>-1.025346065501233E-2</v>
      </c>
      <c r="AJ77">
        <v>4.3527922709922708E-2</v>
      </c>
      <c r="AK77">
        <v>0.2073271080037456</v>
      </c>
      <c r="AL77">
        <v>4.2162850878320501E-2</v>
      </c>
      <c r="AM77">
        <v>0.28666954340132061</v>
      </c>
      <c r="AN77">
        <v>0.1188769757325835</v>
      </c>
      <c r="AO77">
        <v>5.5006417539026971E-2</v>
      </c>
      <c r="AP77">
        <v>0.1420362365877923</v>
      </c>
      <c r="AQ77">
        <v>2.266462767559713E-2</v>
      </c>
      <c r="AR77">
        <v>-1.0989014351906461E-2</v>
      </c>
      <c r="AS77">
        <v>-6.7816267020362087E-2</v>
      </c>
      <c r="AT77">
        <v>0.117836116621803</v>
      </c>
      <c r="AU77">
        <v>-1.4700302969165829E-2</v>
      </c>
      <c r="AV77">
        <v>0.28227273366585431</v>
      </c>
      <c r="AW77">
        <v>-6.9665480120923801E-2</v>
      </c>
      <c r="AX77">
        <v>-0.19418909319599351</v>
      </c>
    </row>
    <row r="78" spans="1:50" x14ac:dyDescent="0.25">
      <c r="A78">
        <v>-0.1742740431185853</v>
      </c>
      <c r="B78">
        <v>-0.1698180467121784</v>
      </c>
      <c r="C78">
        <v>-8.4603211938596518E-2</v>
      </c>
      <c r="D78">
        <v>0.2363870191140407</v>
      </c>
      <c r="E78">
        <v>-0.18187028949204981</v>
      </c>
      <c r="F78">
        <v>-9.4857599182317787E-2</v>
      </c>
      <c r="G78">
        <v>-0.1789400024294574</v>
      </c>
      <c r="H78">
        <v>0.1773445597284338</v>
      </c>
      <c r="I78">
        <v>-0.13675114041287459</v>
      </c>
      <c r="J78">
        <v>0.31943246139509629</v>
      </c>
      <c r="K78">
        <v>0.25645338397321171</v>
      </c>
      <c r="L78">
        <v>0.32296673727850922</v>
      </c>
      <c r="M78">
        <v>9.2895585597322375E-2</v>
      </c>
      <c r="N78">
        <v>5.7532988425641599E-2</v>
      </c>
      <c r="O78">
        <v>4.9368679054231313E-2</v>
      </c>
      <c r="P78">
        <v>-0.12909205213939051</v>
      </c>
      <c r="Q78">
        <v>-0.2275946938228938</v>
      </c>
      <c r="R78">
        <v>-0.1449937165095514</v>
      </c>
      <c r="S78">
        <v>-3.3512203073266723E-2</v>
      </c>
      <c r="T78">
        <v>0.17902456153801871</v>
      </c>
      <c r="U78">
        <v>0.1116717960150326</v>
      </c>
      <c r="V78">
        <v>0.275132285634339</v>
      </c>
      <c r="W78">
        <v>0.2033758733322307</v>
      </c>
      <c r="X78">
        <v>7.8303011755211954E-2</v>
      </c>
      <c r="Y78">
        <v>7.3340973369247289E-2</v>
      </c>
      <c r="Z78">
        <v>2.7001780127727311E-2</v>
      </c>
      <c r="AA78">
        <v>-9.0186038265484741E-2</v>
      </c>
      <c r="AB78">
        <v>-0.16392204220239451</v>
      </c>
      <c r="AC78">
        <v>0.1545459395131209</v>
      </c>
      <c r="AD78">
        <v>4.0719916920004141E-3</v>
      </c>
      <c r="AE78">
        <v>1.462954514321085E-2</v>
      </c>
      <c r="AF78">
        <v>0.1110082057463295</v>
      </c>
      <c r="AG78">
        <v>6.0172956331681612E-2</v>
      </c>
      <c r="AH78">
        <v>-6.7519960238928062E-2</v>
      </c>
      <c r="AI78">
        <v>-0.1021759290716578</v>
      </c>
      <c r="AJ78">
        <v>-6.8313157787201984E-2</v>
      </c>
      <c r="AK78">
        <v>-0.1513975144236738</v>
      </c>
      <c r="AL78">
        <v>0.32683179889135189</v>
      </c>
      <c r="AM78">
        <v>-0.23170552646330581</v>
      </c>
      <c r="AN78">
        <v>0.26648773722487817</v>
      </c>
      <c r="AO78">
        <v>0.15979696411762301</v>
      </c>
      <c r="AP78">
        <v>5.6623289238259628E-2</v>
      </c>
      <c r="AQ78">
        <v>-0.14005051251519079</v>
      </c>
      <c r="AR78">
        <v>-7.9144669514040783E-2</v>
      </c>
      <c r="AS78">
        <v>-0.18689825968863091</v>
      </c>
      <c r="AT78">
        <v>0.61361533786087463</v>
      </c>
      <c r="AU78">
        <v>-2.4265983940695159E-2</v>
      </c>
      <c r="AV78">
        <v>1.7452021668312862E-2</v>
      </c>
      <c r="AW78">
        <v>0.1619415970435234</v>
      </c>
      <c r="AX78">
        <v>-3.029770837655164E-2</v>
      </c>
    </row>
    <row r="79" spans="1:50" x14ac:dyDescent="0.25">
      <c r="A79">
        <v>-0.43917977699597821</v>
      </c>
      <c r="B79">
        <v>0.23081243338950019</v>
      </c>
      <c r="C79">
        <v>0.22116135638556769</v>
      </c>
      <c r="D79">
        <v>2.381761526750607E-2</v>
      </c>
      <c r="E79">
        <v>7.7293925568916816E-2</v>
      </c>
      <c r="F79">
        <v>-0.22937805872745959</v>
      </c>
      <c r="G79">
        <v>-7.6656564343828767E-2</v>
      </c>
      <c r="H79">
        <v>7.6535828258923841E-2</v>
      </c>
      <c r="I79">
        <v>0.32613016211721951</v>
      </c>
      <c r="J79">
        <v>0.1347290950701408</v>
      </c>
      <c r="K79">
        <v>-0.26970511431407151</v>
      </c>
      <c r="L79">
        <v>-1.657984322669601E-2</v>
      </c>
      <c r="M79">
        <v>-0.67996189736297719</v>
      </c>
      <c r="N79">
        <v>6.2578880906583784E-2</v>
      </c>
      <c r="O79">
        <v>-0.1587280321061369</v>
      </c>
      <c r="P79">
        <v>-0.38365452824557378</v>
      </c>
      <c r="Q79">
        <v>-9.8406885092992016E-2</v>
      </c>
      <c r="R79">
        <v>0.35680961847039738</v>
      </c>
      <c r="S79">
        <v>-0.50073108703042091</v>
      </c>
      <c r="T79">
        <v>0.23080931934271409</v>
      </c>
      <c r="U79">
        <v>0.16612725475310811</v>
      </c>
      <c r="V79">
        <v>-0.40466947303580098</v>
      </c>
      <c r="W79">
        <v>9.2170710945318993E-2</v>
      </c>
      <c r="X79">
        <v>7.8924367580807689E-2</v>
      </c>
      <c r="Y79">
        <v>8.6828977931845769E-2</v>
      </c>
      <c r="Z79">
        <v>-0.45469737868521493</v>
      </c>
      <c r="AA79">
        <v>0.2143870336504507</v>
      </c>
      <c r="AB79">
        <v>-0.36296197397190072</v>
      </c>
      <c r="AC79">
        <v>0.57101510887094986</v>
      </c>
      <c r="AD79">
        <v>4.743016165790527E-2</v>
      </c>
      <c r="AE79">
        <v>-6.6980447846348587E-2</v>
      </c>
      <c r="AF79">
        <v>-0.16172939176946219</v>
      </c>
      <c r="AG79">
        <v>-0.37338630772718778</v>
      </c>
      <c r="AH79">
        <v>0.43273859165857848</v>
      </c>
      <c r="AI79">
        <v>-0.2430257034991069</v>
      </c>
      <c r="AJ79">
        <v>0.42723376605623098</v>
      </c>
      <c r="AK79">
        <v>7.8455143674802205E-2</v>
      </c>
      <c r="AL79">
        <v>-0.45002829392835408</v>
      </c>
      <c r="AM79">
        <v>0.28082015568893332</v>
      </c>
      <c r="AN79">
        <v>0.12225908278365021</v>
      </c>
      <c r="AO79">
        <v>0.27562450651117548</v>
      </c>
      <c r="AP79">
        <v>0.77437101640655792</v>
      </c>
      <c r="AQ79">
        <v>-0.4587170527362881</v>
      </c>
      <c r="AR79">
        <v>-0.42360316828481198</v>
      </c>
      <c r="AS79">
        <v>-4.405844264730973E-2</v>
      </c>
      <c r="AT79">
        <v>-0.55459899938407098</v>
      </c>
      <c r="AU79">
        <v>0.38889810225718718</v>
      </c>
      <c r="AV79">
        <v>0.27494837493784008</v>
      </c>
      <c r="AW79">
        <v>-0.28374361072657689</v>
      </c>
      <c r="AX79">
        <v>-0.41019526515316179</v>
      </c>
    </row>
    <row r="80" spans="1:50" x14ac:dyDescent="0.25">
      <c r="A80">
        <v>-0.25718008997519631</v>
      </c>
      <c r="B80">
        <v>8.6109423068220475E-2</v>
      </c>
      <c r="C80">
        <v>0.41662837134377578</v>
      </c>
      <c r="D80">
        <v>-0.35706029680483348</v>
      </c>
      <c r="E80">
        <v>-0.20786136760611451</v>
      </c>
      <c r="F80">
        <v>0.35004230776087342</v>
      </c>
      <c r="G80">
        <v>0.55009760272925112</v>
      </c>
      <c r="H80">
        <v>0.47063917187977161</v>
      </c>
      <c r="I80">
        <v>-0.3305353461364075</v>
      </c>
      <c r="J80">
        <v>-0.30479711965446787</v>
      </c>
      <c r="K80">
        <v>2.0842675177074919E-2</v>
      </c>
      <c r="L80">
        <v>-0.30982566479270263</v>
      </c>
      <c r="M80">
        <v>0.34873292164010289</v>
      </c>
      <c r="N80">
        <v>0.2190503576703276</v>
      </c>
      <c r="O80">
        <v>0.37239145879181862</v>
      </c>
      <c r="P80">
        <v>0.30712194554784378</v>
      </c>
      <c r="Q80">
        <v>0.305709732148576</v>
      </c>
      <c r="R80">
        <v>-0.35610644218082338</v>
      </c>
      <c r="S80">
        <v>0.10696262443905261</v>
      </c>
      <c r="T80">
        <v>0.18654765841324819</v>
      </c>
      <c r="U80">
        <v>0.2293582992181529</v>
      </c>
      <c r="V80">
        <v>-0.1507262553851865</v>
      </c>
      <c r="W80">
        <v>0.25901244897484887</v>
      </c>
      <c r="X80">
        <v>-0.11334229542737741</v>
      </c>
      <c r="Y80">
        <v>-4.9224691887911461E-2</v>
      </c>
      <c r="Z80">
        <v>0.1331089985753571</v>
      </c>
      <c r="AA80">
        <v>0.37593366299191783</v>
      </c>
      <c r="AB80">
        <v>-0.39159509730453979</v>
      </c>
      <c r="AC80">
        <v>-0.34203922647243379</v>
      </c>
      <c r="AD80">
        <v>-0.35453286624759839</v>
      </c>
      <c r="AE80">
        <v>-9.0555765000844529E-2</v>
      </c>
      <c r="AF80">
        <v>0.40539463565202383</v>
      </c>
      <c r="AG80">
        <v>3.7011518671048203E-2</v>
      </c>
      <c r="AH80">
        <v>0.1711555386092555</v>
      </c>
      <c r="AI80">
        <v>0.2220106690091235</v>
      </c>
      <c r="AJ80">
        <v>0.36880489484406259</v>
      </c>
      <c r="AK80">
        <v>-0.31899045821659788</v>
      </c>
      <c r="AL80">
        <v>-0.35024005369940792</v>
      </c>
      <c r="AM80">
        <v>-0.4595378966904714</v>
      </c>
      <c r="AN80">
        <v>0.1286628405212652</v>
      </c>
      <c r="AO80">
        <v>0.23051477886639879</v>
      </c>
      <c r="AP80">
        <v>0.28568886217777689</v>
      </c>
      <c r="AQ80">
        <v>0.40822098197403611</v>
      </c>
      <c r="AR80">
        <v>0.68914725427150592</v>
      </c>
      <c r="AS80">
        <v>-0.25830470995436372</v>
      </c>
      <c r="AT80">
        <v>-0.15930130463984871</v>
      </c>
      <c r="AU80">
        <v>-0.18258712294412799</v>
      </c>
      <c r="AV80">
        <v>-8.7889355489310372E-2</v>
      </c>
      <c r="AW80">
        <v>9.3107345965390817E-2</v>
      </c>
      <c r="AX80">
        <v>0.24177213116042601</v>
      </c>
    </row>
    <row r="81" spans="1:50" x14ac:dyDescent="0.25">
      <c r="A81">
        <v>-9.4844076807577338E-2</v>
      </c>
      <c r="B81">
        <v>8.8588516666395639E-2</v>
      </c>
      <c r="C81">
        <v>0.26139098616046991</v>
      </c>
      <c r="D81">
        <v>-0.17914339153270831</v>
      </c>
      <c r="E81">
        <v>1.540739723719544E-2</v>
      </c>
      <c r="F81">
        <v>-1.4666916305603531E-2</v>
      </c>
      <c r="G81">
        <v>-0.127219781713097</v>
      </c>
      <c r="H81">
        <v>0.1198507782207216</v>
      </c>
      <c r="I81">
        <v>-3.9154776059147668E-2</v>
      </c>
      <c r="J81">
        <v>1.6811941351541251E-2</v>
      </c>
      <c r="K81">
        <v>-0.1772412297360493</v>
      </c>
      <c r="L81">
        <v>4.0985254024285968E-2</v>
      </c>
      <c r="M81">
        <v>-0.13170420574851749</v>
      </c>
      <c r="N81">
        <v>-5.4844734685454338E-2</v>
      </c>
      <c r="O81">
        <v>-9.3210950163289868E-2</v>
      </c>
      <c r="P81">
        <v>6.9170182517866829E-2</v>
      </c>
      <c r="Q81">
        <v>-0.1091795849943334</v>
      </c>
      <c r="R81">
        <v>0.29166168363860617</v>
      </c>
      <c r="S81">
        <v>-2.4863136177784229E-2</v>
      </c>
      <c r="T81">
        <v>0.12088852201869139</v>
      </c>
      <c r="U81">
        <v>4.7784317158335872E-2</v>
      </c>
      <c r="V81">
        <v>7.3041965421143148E-2</v>
      </c>
      <c r="W81">
        <v>6.6791712730463318E-2</v>
      </c>
      <c r="X81">
        <v>-0.1076715636482662</v>
      </c>
      <c r="Y81">
        <v>0.17285112642917019</v>
      </c>
      <c r="Z81">
        <v>0.10082019204577571</v>
      </c>
      <c r="AA81">
        <v>0.1214539576095562</v>
      </c>
      <c r="AB81">
        <v>-8.8552700754038177E-2</v>
      </c>
      <c r="AC81">
        <v>-9.3628381783288028E-2</v>
      </c>
      <c r="AD81">
        <v>-0.14433584618401971</v>
      </c>
      <c r="AE81">
        <v>-5.0025611931124939E-2</v>
      </c>
      <c r="AF81">
        <v>-0.13522898116755849</v>
      </c>
      <c r="AG81">
        <v>-9.9644651827969721E-2</v>
      </c>
      <c r="AH81">
        <v>0.14059081219706751</v>
      </c>
      <c r="AI81">
        <v>1.3919795283929349E-2</v>
      </c>
      <c r="AJ81">
        <v>8.4651010845604488E-2</v>
      </c>
      <c r="AK81">
        <v>0.13283930392459239</v>
      </c>
      <c r="AL81">
        <v>0.17393408283204531</v>
      </c>
      <c r="AM81">
        <v>-0.18304938127891929</v>
      </c>
      <c r="AN81">
        <v>3.8095013306105367E-2</v>
      </c>
      <c r="AO81">
        <v>-5.7839215047604212E-2</v>
      </c>
      <c r="AP81">
        <v>-8.64684094001371E-2</v>
      </c>
      <c r="AQ81">
        <v>3.1601799907163712E-2</v>
      </c>
      <c r="AR81">
        <v>0.1004005467189696</v>
      </c>
      <c r="AS81">
        <v>-8.5226498300838602E-2</v>
      </c>
      <c r="AT81">
        <v>0.2480904404370661</v>
      </c>
      <c r="AU81">
        <v>-0.1146245687548538</v>
      </c>
      <c r="AV81">
        <v>0.15326658081213571</v>
      </c>
      <c r="AW81">
        <v>-6.1539618767510768E-2</v>
      </c>
      <c r="AX81">
        <v>0.2308887006577075</v>
      </c>
    </row>
    <row r="82" spans="1:50" x14ac:dyDescent="0.25">
      <c r="A82">
        <v>0.48485561346021272</v>
      </c>
      <c r="B82">
        <v>0.48421898961210141</v>
      </c>
      <c r="C82">
        <v>9.7327531087509203E-2</v>
      </c>
      <c r="D82">
        <v>-5.5480092590703418E-2</v>
      </c>
      <c r="E82">
        <v>-2.5840148889782009E-2</v>
      </c>
      <c r="F82">
        <v>-7.592738123299686E-2</v>
      </c>
      <c r="G82">
        <v>-0.2765926148110569</v>
      </c>
      <c r="H82">
        <v>-0.28525427952581539</v>
      </c>
      <c r="I82">
        <v>0.34496323122012879</v>
      </c>
      <c r="J82">
        <v>-0.32640820564773199</v>
      </c>
      <c r="K82">
        <v>0.13229825459553099</v>
      </c>
      <c r="L82">
        <v>0.2165149241125244</v>
      </c>
      <c r="M82">
        <v>0.41245924956792979</v>
      </c>
      <c r="N82">
        <v>-9.0503192018907705E-2</v>
      </c>
      <c r="O82">
        <v>-0.33526977411358339</v>
      </c>
      <c r="P82">
        <v>3.6787809375456629E-2</v>
      </c>
      <c r="Q82">
        <v>0.1107839874083258</v>
      </c>
      <c r="R82">
        <v>-2.9500229993950081E-2</v>
      </c>
      <c r="S82">
        <v>0.23086347197570109</v>
      </c>
      <c r="T82">
        <v>-0.1128856181550411</v>
      </c>
      <c r="U82">
        <v>-0.17226154292444121</v>
      </c>
      <c r="V82">
        <v>-3.0852045871459831E-3</v>
      </c>
      <c r="W82">
        <v>4.4872511889598052E-2</v>
      </c>
      <c r="X82">
        <v>-0.23643009073923091</v>
      </c>
      <c r="Y82">
        <v>0.38471929407399069</v>
      </c>
      <c r="Z82">
        <v>8.6093159379506512E-2</v>
      </c>
      <c r="AA82">
        <v>0.1200049831635963</v>
      </c>
      <c r="AB82">
        <v>-0.1019844479652354</v>
      </c>
      <c r="AC82">
        <v>0.2877455494268093</v>
      </c>
      <c r="AD82">
        <v>-0.30602657558575957</v>
      </c>
      <c r="AE82">
        <v>-0.17355388466893909</v>
      </c>
      <c r="AF82">
        <v>-0.20819571061989339</v>
      </c>
      <c r="AG82">
        <v>0.44091081775762769</v>
      </c>
      <c r="AH82">
        <v>-0.34493222333805701</v>
      </c>
      <c r="AI82">
        <v>3.5474632899438682E-2</v>
      </c>
      <c r="AJ82">
        <v>0.1850944096043842</v>
      </c>
      <c r="AK82">
        <v>0.14457903885400139</v>
      </c>
      <c r="AL82">
        <v>-0.17896603130200051</v>
      </c>
      <c r="AM82">
        <v>0.25670321028177151</v>
      </c>
      <c r="AN82">
        <v>-0.30174129051269227</v>
      </c>
      <c r="AO82">
        <v>8.4604991630104626E-2</v>
      </c>
      <c r="AP82">
        <v>-0.37303248533902422</v>
      </c>
      <c r="AQ82">
        <v>-0.19127105763842989</v>
      </c>
      <c r="AR82">
        <v>0.43242365380477571</v>
      </c>
      <c r="AS82">
        <v>0.3578146498380313</v>
      </c>
      <c r="AT82">
        <v>0.19145385233482939</v>
      </c>
      <c r="AU82">
        <v>-0.10907819893843421</v>
      </c>
      <c r="AV82">
        <v>0.1438812889609816</v>
      </c>
      <c r="AW82">
        <v>-2.7022531245481481E-2</v>
      </c>
      <c r="AX82">
        <v>-0.22571769283812129</v>
      </c>
    </row>
    <row r="83" spans="1:50" x14ac:dyDescent="0.25">
      <c r="A83">
        <v>0.3362769453265837</v>
      </c>
      <c r="B83">
        <v>0.12809353936086851</v>
      </c>
      <c r="C83">
        <v>-0.14720950118742171</v>
      </c>
      <c r="D83">
        <v>0.25046819462494019</v>
      </c>
      <c r="E83">
        <v>-0.22027217616587191</v>
      </c>
      <c r="F83">
        <v>0.57343531229262379</v>
      </c>
      <c r="G83">
        <v>0.30515213038007388</v>
      </c>
      <c r="H83">
        <v>-0.38537458311770723</v>
      </c>
      <c r="I83">
        <v>0.47810174054656379</v>
      </c>
      <c r="J83">
        <v>0.17807309866557269</v>
      </c>
      <c r="K83">
        <v>5.6392875195090231E-2</v>
      </c>
      <c r="L83">
        <v>-7.2201012919782981E-2</v>
      </c>
      <c r="M83">
        <v>-0.22018598351582411</v>
      </c>
      <c r="N83">
        <v>0.41397887388230598</v>
      </c>
      <c r="O83">
        <v>-6.0187995791638499E-2</v>
      </c>
      <c r="P83">
        <v>0.20109927242075601</v>
      </c>
      <c r="Q83">
        <v>0.23596739640853409</v>
      </c>
      <c r="R83">
        <v>0.28560152590792032</v>
      </c>
      <c r="S83">
        <v>2.5346318563260421E-2</v>
      </c>
      <c r="T83">
        <v>-0.11559471313903261</v>
      </c>
      <c r="U83">
        <v>-0.13330078271829901</v>
      </c>
      <c r="V83">
        <v>0.18544739053275541</v>
      </c>
      <c r="W83">
        <v>0.39343737103296911</v>
      </c>
      <c r="X83">
        <v>-7.0035371323232676E-2</v>
      </c>
      <c r="Y83">
        <v>0.31498180400851961</v>
      </c>
      <c r="Z83">
        <v>7.2701303329671702E-2</v>
      </c>
      <c r="AA83">
        <v>3.3282442464597772E-2</v>
      </c>
      <c r="AB83">
        <v>-0.134473169094386</v>
      </c>
      <c r="AC83">
        <v>0.1632511677101075</v>
      </c>
      <c r="AD83">
        <v>2.8234450561247421E-2</v>
      </c>
      <c r="AE83">
        <v>-6.6904496343466097E-2</v>
      </c>
      <c r="AF83">
        <v>-0.11119589359504579</v>
      </c>
      <c r="AG83">
        <v>-0.29131907290595338</v>
      </c>
      <c r="AH83">
        <v>-9.0356138476132913E-2</v>
      </c>
      <c r="AI83">
        <v>8.37371853818938E-2</v>
      </c>
      <c r="AJ83">
        <v>0.30368949699200798</v>
      </c>
      <c r="AK83">
        <v>-9.2255453977452453E-2</v>
      </c>
      <c r="AL83">
        <v>-4.1861123779158287E-2</v>
      </c>
      <c r="AM83">
        <v>0.21444656248570651</v>
      </c>
      <c r="AN83">
        <v>-0.27260301274395771</v>
      </c>
      <c r="AO83">
        <v>-0.18531894627925069</v>
      </c>
      <c r="AP83">
        <v>0.1392684073649984</v>
      </c>
      <c r="AQ83">
        <v>4.0744947165438569E-2</v>
      </c>
      <c r="AR83">
        <v>0.32199518208451039</v>
      </c>
      <c r="AS83">
        <v>-1.0516309408727499E-3</v>
      </c>
      <c r="AT83">
        <v>0.24694126186019419</v>
      </c>
      <c r="AU83">
        <v>0.28010319478935741</v>
      </c>
      <c r="AV83">
        <v>0.28183245588757883</v>
      </c>
      <c r="AW83">
        <v>-0.29939975313035799</v>
      </c>
      <c r="AX83">
        <v>-0.29429088026466788</v>
      </c>
    </row>
    <row r="84" spans="1:50" x14ac:dyDescent="0.25">
      <c r="A84">
        <v>-2.686293609830746E-2</v>
      </c>
      <c r="B84">
        <v>-8.3106998697265538E-2</v>
      </c>
      <c r="C84">
        <v>0.2367355781774666</v>
      </c>
      <c r="D84">
        <v>-2.5651256895634949E-2</v>
      </c>
      <c r="E84">
        <v>1.117990081969682E-2</v>
      </c>
      <c r="F84">
        <v>-9.3807146139586781E-2</v>
      </c>
      <c r="G84">
        <v>0.18976924915597809</v>
      </c>
      <c r="H84">
        <v>0.22635669953719981</v>
      </c>
      <c r="I84">
        <v>4.2584229743545678E-2</v>
      </c>
      <c r="J84">
        <v>0.31343973332824709</v>
      </c>
      <c r="K84">
        <v>-2.302075644566083E-3</v>
      </c>
      <c r="L84">
        <v>-1.11545937105193E-2</v>
      </c>
      <c r="M84">
        <v>-0.1129318857907172</v>
      </c>
      <c r="N84">
        <v>9.5274364105402496E-3</v>
      </c>
      <c r="O84">
        <v>0.1003043182961956</v>
      </c>
      <c r="P84">
        <v>9.0653656391548564E-3</v>
      </c>
      <c r="Q84">
        <v>0.1186744864664164</v>
      </c>
      <c r="R84">
        <v>-8.0263078952878736E-2</v>
      </c>
      <c r="S84">
        <v>9.6143020927724643E-2</v>
      </c>
      <c r="T84">
        <v>0.1112647745302323</v>
      </c>
      <c r="U84">
        <v>0.10422882553037489</v>
      </c>
      <c r="V84">
        <v>-3.8657167370553497E-2</v>
      </c>
      <c r="W84">
        <v>-1.6265712454581319E-2</v>
      </c>
      <c r="X84">
        <v>4.0156301979619363E-2</v>
      </c>
      <c r="Y84">
        <v>0.14837737134978371</v>
      </c>
      <c r="Z84">
        <v>0.1674563217093035</v>
      </c>
      <c r="AA84">
        <v>8.9156850964623641E-2</v>
      </c>
      <c r="AB84">
        <v>-4.5920486951886112E-3</v>
      </c>
      <c r="AC84">
        <v>-6.9391104800510847E-2</v>
      </c>
      <c r="AD84">
        <v>-0.1100825576640382</v>
      </c>
      <c r="AE84">
        <v>-2.638442415298909E-2</v>
      </c>
      <c r="AF84">
        <v>-0.1062452294903503</v>
      </c>
      <c r="AG84">
        <v>-7.9470423835472162E-2</v>
      </c>
      <c r="AH84">
        <v>8.2385749193696803E-2</v>
      </c>
      <c r="AI84">
        <v>8.8199879077268228E-2</v>
      </c>
      <c r="AJ84">
        <v>9.7313840382724989E-3</v>
      </c>
      <c r="AK84">
        <v>0.12450564160019641</v>
      </c>
      <c r="AL84">
        <v>6.9810168800524555E-2</v>
      </c>
      <c r="AM84">
        <v>0.13735441588729441</v>
      </c>
      <c r="AN84">
        <v>0.15231474275057841</v>
      </c>
      <c r="AO84">
        <v>0.1163077701570376</v>
      </c>
      <c r="AP84">
        <v>-8.2996057884635377E-2</v>
      </c>
      <c r="AQ84">
        <v>0.18997757070345431</v>
      </c>
      <c r="AR84">
        <v>-1.391541433912186E-2</v>
      </c>
      <c r="AS84">
        <v>2.3758805134639661E-2</v>
      </c>
      <c r="AT84">
        <v>0.12463157848989</v>
      </c>
      <c r="AU84">
        <v>-7.5236021658412713E-2</v>
      </c>
      <c r="AV84">
        <v>0.1455821420974707</v>
      </c>
      <c r="AW84">
        <v>3.7532914120027003E-2</v>
      </c>
      <c r="AX84">
        <v>0.25937227243405758</v>
      </c>
    </row>
    <row r="85" spans="1:50" x14ac:dyDescent="0.25">
      <c r="A85">
        <v>0.53194100160653757</v>
      </c>
      <c r="B85">
        <v>-0.13418557316348409</v>
      </c>
      <c r="C85">
        <v>-6.3531161431097438E-2</v>
      </c>
      <c r="D85">
        <v>9.333059306644173E-2</v>
      </c>
      <c r="E85">
        <v>-0.3926681098621253</v>
      </c>
      <c r="F85">
        <v>0.34554005833807022</v>
      </c>
      <c r="G85">
        <v>5.7676739084762133E-2</v>
      </c>
      <c r="H85">
        <v>0.28165026298159562</v>
      </c>
      <c r="I85">
        <v>-0.31796702950102629</v>
      </c>
      <c r="J85">
        <v>-0.2997794265991679</v>
      </c>
      <c r="K85">
        <v>7.4298281165231322E-2</v>
      </c>
      <c r="L85">
        <v>0.33821637770830282</v>
      </c>
      <c r="M85">
        <v>0.34074130755051202</v>
      </c>
      <c r="N85">
        <v>-0.18268326244490821</v>
      </c>
      <c r="O85">
        <v>-2.4737442062474239E-2</v>
      </c>
      <c r="P85">
        <v>0.54327924926890159</v>
      </c>
      <c r="Q85">
        <v>-4.2004126321732727E-2</v>
      </c>
      <c r="R85">
        <v>0.72205712897942065</v>
      </c>
      <c r="S85">
        <v>-9.66132055418263E-2</v>
      </c>
      <c r="T85">
        <v>-0.27927535187966129</v>
      </c>
      <c r="U85">
        <v>7.3330075861228347E-2</v>
      </c>
      <c r="V85">
        <v>0.47936580953587399</v>
      </c>
      <c r="W85">
        <v>-0.13276361717176571</v>
      </c>
      <c r="X85">
        <v>-0.13528734931537831</v>
      </c>
      <c r="Y85">
        <v>0.24519947687961041</v>
      </c>
      <c r="Z85">
        <v>0.13787052026413071</v>
      </c>
      <c r="AA85">
        <v>-1.7927505814480871E-2</v>
      </c>
      <c r="AB85">
        <v>0.2769245705828996</v>
      </c>
      <c r="AC85">
        <v>0.23954494749536509</v>
      </c>
      <c r="AD85">
        <v>-9.3911433559648691E-2</v>
      </c>
      <c r="AE85">
        <v>7.6466790016973202E-3</v>
      </c>
      <c r="AF85">
        <v>0.34127441279080972</v>
      </c>
      <c r="AG85">
        <v>5.3339680921366033E-2</v>
      </c>
      <c r="AH85">
        <v>3.9591464171558413E-2</v>
      </c>
      <c r="AI85">
        <v>-0.1041705259897127</v>
      </c>
      <c r="AJ85">
        <v>0.33745709933885898</v>
      </c>
      <c r="AK85">
        <v>-0.14347198953724949</v>
      </c>
      <c r="AL85">
        <v>6.0901595895627332E-2</v>
      </c>
      <c r="AM85">
        <v>-0.28541975263009223</v>
      </c>
      <c r="AN85">
        <v>0.46406476282091802</v>
      </c>
      <c r="AO85">
        <v>0.47951851143478541</v>
      </c>
      <c r="AP85">
        <v>-2.1814678176568899E-2</v>
      </c>
      <c r="AQ85">
        <v>-1.544405661969496E-2</v>
      </c>
      <c r="AR85">
        <v>0.22527105197131769</v>
      </c>
      <c r="AS85">
        <v>-9.6570837752475908E-2</v>
      </c>
      <c r="AT85">
        <v>0.3401091317675316</v>
      </c>
      <c r="AU85">
        <v>7.6053005506195717E-2</v>
      </c>
      <c r="AV85">
        <v>-9.3271189053949766E-3</v>
      </c>
      <c r="AW85">
        <v>-0.1823873656165014</v>
      </c>
      <c r="AX85">
        <v>-0.33507033257320917</v>
      </c>
    </row>
    <row r="86" spans="1:50" x14ac:dyDescent="0.25">
      <c r="A86">
        <v>1.6612541586492079E-3</v>
      </c>
      <c r="B86">
        <v>4.9176932189910649E-2</v>
      </c>
      <c r="C86">
        <v>-4.4454658271193652E-3</v>
      </c>
      <c r="D86">
        <v>3.2333378673323032E-2</v>
      </c>
      <c r="E86">
        <v>-1.6108969566596201E-2</v>
      </c>
      <c r="F86">
        <v>2.4251300136047739E-2</v>
      </c>
      <c r="G86">
        <v>1.162401753129143E-2</v>
      </c>
      <c r="H86">
        <v>-9.1584649026798075E-3</v>
      </c>
      <c r="I86">
        <v>4.040946288025626E-3</v>
      </c>
      <c r="J86">
        <v>3.4778674108745709E-2</v>
      </c>
      <c r="K86">
        <v>6.6424717244882988E-3</v>
      </c>
      <c r="L86">
        <v>-9.0002184401751142E-3</v>
      </c>
      <c r="M86">
        <v>1.4348401161477439E-2</v>
      </c>
      <c r="N86">
        <v>2.0583775163988439E-2</v>
      </c>
      <c r="O86">
        <v>4.1050260055399322E-2</v>
      </c>
      <c r="P86">
        <v>1.33854657832979E-2</v>
      </c>
      <c r="Q86">
        <v>8.6932786264462714E-2</v>
      </c>
      <c r="R86">
        <v>3.3650865946755523E-2</v>
      </c>
      <c r="S86">
        <v>4.8777372989124686E-3</v>
      </c>
      <c r="T86">
        <v>9.1762948635263006E-3</v>
      </c>
      <c r="U86">
        <v>1.977961253590399E-2</v>
      </c>
      <c r="V86">
        <v>1.5537515492256749E-2</v>
      </c>
      <c r="W86">
        <v>1.7260524940973371E-2</v>
      </c>
      <c r="X86">
        <v>-2.9828054121608442E-4</v>
      </c>
      <c r="Y86">
        <v>5.7462277529398212E-2</v>
      </c>
      <c r="Z86">
        <v>3.0059842392015739E-2</v>
      </c>
      <c r="AA86">
        <v>2.0765180146765028E-2</v>
      </c>
      <c r="AB86">
        <v>6.4949325791728199E-2</v>
      </c>
      <c r="AC86">
        <v>5.4693154353572478E-2</v>
      </c>
      <c r="AD86">
        <v>-2.4617664061251252E-2</v>
      </c>
      <c r="AE86">
        <v>2.1231169524338369E-2</v>
      </c>
      <c r="AF86">
        <v>-1.0523075958904881E-2</v>
      </c>
      <c r="AG86">
        <v>4.7942388608134337E-2</v>
      </c>
      <c r="AH86">
        <v>7.0727376124879709E-3</v>
      </c>
      <c r="AI86">
        <v>2.3627619043303991E-2</v>
      </c>
      <c r="AJ86">
        <v>2.016739789761918E-2</v>
      </c>
      <c r="AK86">
        <v>-1.091090012837544E-2</v>
      </c>
      <c r="AL86">
        <v>1.7928552897962659E-2</v>
      </c>
      <c r="AM86">
        <v>9.532160845691388E-3</v>
      </c>
      <c r="AN86">
        <v>8.0213437896973667E-3</v>
      </c>
      <c r="AO86">
        <v>-6.6915166854419556E-3</v>
      </c>
      <c r="AP86">
        <v>-2.5040199997401799E-2</v>
      </c>
      <c r="AQ86">
        <v>1.7596334614735001E-2</v>
      </c>
      <c r="AR86">
        <v>3.2498808901335149E-2</v>
      </c>
      <c r="AS86">
        <v>2.526241155632267E-2</v>
      </c>
      <c r="AT86">
        <v>5.5771570702599759E-3</v>
      </c>
      <c r="AU86">
        <v>5.623999470756811E-2</v>
      </c>
      <c r="AV86">
        <v>4.1771301934477152E-2</v>
      </c>
      <c r="AW86">
        <v>2.441361267004254E-2</v>
      </c>
      <c r="AX86">
        <v>1.7439875809100811E-2</v>
      </c>
    </row>
    <row r="87" spans="1:50" x14ac:dyDescent="0.25">
      <c r="A87">
        <v>-0.2127762354015594</v>
      </c>
      <c r="B87">
        <v>0.1546546677542478</v>
      </c>
      <c r="C87">
        <v>7.4636761007289318E-2</v>
      </c>
      <c r="D87">
        <v>-6.0851760136943706E-3</v>
      </c>
      <c r="E87">
        <v>5.784234288335658E-2</v>
      </c>
      <c r="F87">
        <v>-0.12396723300686679</v>
      </c>
      <c r="G87">
        <v>-0.2256242146754881</v>
      </c>
      <c r="H87">
        <v>0.1789007148480653</v>
      </c>
      <c r="I87">
        <v>0.20626323539452879</v>
      </c>
      <c r="J87">
        <v>0.1295395046842151</v>
      </c>
      <c r="K87">
        <v>-0.1077150828579822</v>
      </c>
      <c r="L87">
        <v>3.4547192798021743E-2</v>
      </c>
      <c r="M87">
        <v>-0.12229138963812319</v>
      </c>
      <c r="N87">
        <v>0.12652921755685489</v>
      </c>
      <c r="O87">
        <v>0.15929652044136841</v>
      </c>
      <c r="P87">
        <v>-0.15845425504452679</v>
      </c>
      <c r="Q87">
        <v>0.23571722770128439</v>
      </c>
      <c r="R87">
        <v>5.1729218729318932E-2</v>
      </c>
      <c r="S87">
        <v>-8.0466193703680022E-2</v>
      </c>
      <c r="T87">
        <v>0.1316145837586907</v>
      </c>
      <c r="U87">
        <v>-2.9524384110884889E-2</v>
      </c>
      <c r="V87">
        <v>0.14960878657289239</v>
      </c>
      <c r="W87">
        <v>7.3417330589068158E-2</v>
      </c>
      <c r="X87">
        <v>-8.9745563096397418E-2</v>
      </c>
      <c r="Y87">
        <v>5.7283812050475461E-2</v>
      </c>
      <c r="Z87">
        <v>0.26269063841766649</v>
      </c>
      <c r="AA87">
        <v>8.3829505477610328E-3</v>
      </c>
      <c r="AB87">
        <v>-0.1046157721852221</v>
      </c>
      <c r="AC87">
        <v>0.14616075710348109</v>
      </c>
      <c r="AD87">
        <v>-0.26869461586974852</v>
      </c>
      <c r="AE87">
        <v>2.3339745075196601E-2</v>
      </c>
      <c r="AF87">
        <v>0.1568555739618557</v>
      </c>
      <c r="AG87">
        <v>-9.5838140197275212E-2</v>
      </c>
      <c r="AH87">
        <v>0.16689840591205529</v>
      </c>
      <c r="AI87">
        <v>-4.1406237148916992E-3</v>
      </c>
      <c r="AJ87">
        <v>-0.1306330610392305</v>
      </c>
      <c r="AK87">
        <v>-5.7242136864545247E-2</v>
      </c>
      <c r="AL87">
        <v>-3.4717630726470723E-2</v>
      </c>
      <c r="AM87">
        <v>-0.1154647021246011</v>
      </c>
      <c r="AN87">
        <v>4.9521801527349897E-2</v>
      </c>
      <c r="AO87">
        <v>-0.20412411953405529</v>
      </c>
      <c r="AP87">
        <v>-2.2266037476043232E-2</v>
      </c>
      <c r="AQ87">
        <v>0.22507856596251261</v>
      </c>
      <c r="AR87">
        <v>0.25728840417984772</v>
      </c>
      <c r="AS87">
        <v>0.1333883542812131</v>
      </c>
      <c r="AT87">
        <v>-0.16482863637659231</v>
      </c>
      <c r="AU87">
        <v>-0.1013905741950579</v>
      </c>
      <c r="AV87">
        <v>2.353111795507996E-2</v>
      </c>
      <c r="AW87">
        <v>0.2282967059116556</v>
      </c>
      <c r="AX87">
        <v>0.10451754998835699</v>
      </c>
    </row>
    <row r="88" spans="1:50" x14ac:dyDescent="0.25">
      <c r="A88">
        <v>1.9966307122850441E-2</v>
      </c>
      <c r="B88">
        <v>0.14400835514920379</v>
      </c>
      <c r="C88">
        <v>-0.15195656002500521</v>
      </c>
      <c r="D88">
        <v>0.12758594484901589</v>
      </c>
      <c r="E88">
        <v>7.3050298251468623E-2</v>
      </c>
      <c r="F88">
        <v>-0.1105448845399906</v>
      </c>
      <c r="G88">
        <v>0.25289112582587903</v>
      </c>
      <c r="H88">
        <v>-0.1032492014251931</v>
      </c>
      <c r="I88">
        <v>-0.1521575913886527</v>
      </c>
      <c r="J88">
        <v>-0.17830968299878969</v>
      </c>
      <c r="K88">
        <v>0.1079523155372724</v>
      </c>
      <c r="L88">
        <v>-9.711694210087396E-2</v>
      </c>
      <c r="M88">
        <v>0.1786839750076322</v>
      </c>
      <c r="N88">
        <v>0.35954068086174118</v>
      </c>
      <c r="O88">
        <v>0.1322449764968199</v>
      </c>
      <c r="P88">
        <v>0.12521438026123211</v>
      </c>
      <c r="Q88">
        <v>-0.10074279217058039</v>
      </c>
      <c r="R88">
        <v>0.3464876703772431</v>
      </c>
      <c r="S88">
        <v>0.17550730609168441</v>
      </c>
      <c r="T88">
        <v>0.149665813555793</v>
      </c>
      <c r="U88">
        <v>-0.1077415766572586</v>
      </c>
      <c r="V88">
        <v>0.29792536503118261</v>
      </c>
      <c r="W88">
        <v>-1.341570585865618E-3</v>
      </c>
      <c r="X88">
        <v>-2.9763137974073949E-2</v>
      </c>
      <c r="Y88">
        <v>6.9760074764744551E-2</v>
      </c>
      <c r="Z88">
        <v>4.5822984429217617E-2</v>
      </c>
      <c r="AA88">
        <v>-8.3673639245859573E-3</v>
      </c>
      <c r="AB88">
        <v>7.5958285697170211E-2</v>
      </c>
      <c r="AC88">
        <v>3.9552097133781397E-2</v>
      </c>
      <c r="AD88">
        <v>0.1910825320449118</v>
      </c>
      <c r="AE88">
        <v>-0.15850881363103911</v>
      </c>
      <c r="AF88">
        <v>-0.12071198118816941</v>
      </c>
      <c r="AG88">
        <v>0.21869419932897349</v>
      </c>
      <c r="AH88">
        <v>0.33649654870018608</v>
      </c>
      <c r="AI88">
        <v>0.29059677316072141</v>
      </c>
      <c r="AJ88">
        <v>-1.2674065362341679E-2</v>
      </c>
      <c r="AK88">
        <v>0.18214957623658279</v>
      </c>
      <c r="AL88">
        <v>-2.620669893461711E-2</v>
      </c>
      <c r="AM88">
        <v>0.14432937882063779</v>
      </c>
      <c r="AN88">
        <v>5.0269579139825681E-2</v>
      </c>
      <c r="AO88">
        <v>0.25828480129316339</v>
      </c>
      <c r="AP88">
        <v>3.024395123024106E-2</v>
      </c>
      <c r="AQ88">
        <v>0.22238370275758529</v>
      </c>
      <c r="AR88">
        <v>0.24686393166809381</v>
      </c>
      <c r="AS88">
        <v>0.20451055198255469</v>
      </c>
      <c r="AT88">
        <v>0.3628402566430815</v>
      </c>
      <c r="AU88">
        <v>0.21769154505997321</v>
      </c>
      <c r="AV88">
        <v>0.33213518701643402</v>
      </c>
      <c r="AW88">
        <v>-6.5877690315634813E-2</v>
      </c>
      <c r="AX88">
        <v>0.1520872738133098</v>
      </c>
    </row>
    <row r="89" spans="1:50" x14ac:dyDescent="0.25">
      <c r="A89">
        <v>9.5510932322223588E-2</v>
      </c>
      <c r="B89">
        <v>-7.0057812300027236E-2</v>
      </c>
      <c r="C89">
        <v>-0.10111891066198821</v>
      </c>
      <c r="D89">
        <v>0.26982962668071031</v>
      </c>
      <c r="E89">
        <v>0.22769719485941969</v>
      </c>
      <c r="F89">
        <v>0.23956799587865751</v>
      </c>
      <c r="G89">
        <v>0.27476400203765949</v>
      </c>
      <c r="H89">
        <v>-0.13739880875305011</v>
      </c>
      <c r="I89">
        <v>-0.15273935180254861</v>
      </c>
      <c r="J89">
        <v>5.1793434965336463E-2</v>
      </c>
      <c r="K89">
        <v>-7.8459970742117913E-2</v>
      </c>
      <c r="L89">
        <v>-0.19394509855951711</v>
      </c>
      <c r="M89">
        <v>-0.27375220767072111</v>
      </c>
      <c r="N89">
        <v>0.30261902343870928</v>
      </c>
      <c r="O89">
        <v>0.1546788045416331</v>
      </c>
      <c r="P89">
        <v>0.1096990682646818</v>
      </c>
      <c r="Q89">
        <v>-0.1028760740145796</v>
      </c>
      <c r="R89">
        <v>0.1056679595652201</v>
      </c>
      <c r="S89">
        <v>-6.5287405719886116E-2</v>
      </c>
      <c r="T89">
        <v>4.707502269281196E-3</v>
      </c>
      <c r="U89">
        <v>-8.947063286540051E-2</v>
      </c>
      <c r="V89">
        <v>0.20415981824914819</v>
      </c>
      <c r="W89">
        <v>0.12670283097605561</v>
      </c>
      <c r="X89">
        <v>0.33053658738838859</v>
      </c>
      <c r="Y89">
        <v>-8.9240198478999319E-2</v>
      </c>
      <c r="Z89">
        <v>4.5554136851861812E-2</v>
      </c>
      <c r="AA89">
        <v>0.15439503570710739</v>
      </c>
      <c r="AB89">
        <v>-0.1893319747551421</v>
      </c>
      <c r="AC89">
        <v>-9.8788135446811004E-2</v>
      </c>
      <c r="AD89">
        <v>0.29965800259291431</v>
      </c>
      <c r="AE89">
        <v>0.10215102063169181</v>
      </c>
      <c r="AF89">
        <v>0.18660690124522761</v>
      </c>
      <c r="AG89">
        <v>-0.19557918729639501</v>
      </c>
      <c r="AH89">
        <v>-0.15881505880034241</v>
      </c>
      <c r="AI89">
        <v>0.2182640469154209</v>
      </c>
      <c r="AJ89">
        <v>-4.6349005572106063E-2</v>
      </c>
      <c r="AK89">
        <v>-0.17633531185732121</v>
      </c>
      <c r="AL89">
        <v>-5.217841596163264E-2</v>
      </c>
      <c r="AM89">
        <v>-9.3558605768919945E-2</v>
      </c>
      <c r="AN89">
        <v>4.4831077816058669E-2</v>
      </c>
      <c r="AO89">
        <v>0.13716132032835601</v>
      </c>
      <c r="AP89">
        <v>0.1247644419094804</v>
      </c>
      <c r="AQ89">
        <v>-0.30479549416924279</v>
      </c>
      <c r="AR89">
        <v>0.14617661726568079</v>
      </c>
      <c r="AS89">
        <v>-3.9045557954791921E-2</v>
      </c>
      <c r="AT89">
        <v>6.8335680781290986E-2</v>
      </c>
      <c r="AU89">
        <v>0.17485811199481921</v>
      </c>
      <c r="AV89">
        <v>-5.5999243076824731E-2</v>
      </c>
      <c r="AW89">
        <v>-7.3522366041503917E-2</v>
      </c>
      <c r="AX89">
        <v>-0.12569631588443769</v>
      </c>
    </row>
    <row r="90" spans="1:50" x14ac:dyDescent="0.25">
      <c r="A90">
        <v>-0.27948208779926209</v>
      </c>
      <c r="B90">
        <v>-3.7388082691623768E-2</v>
      </c>
      <c r="C90">
        <v>-0.30997094544636938</v>
      </c>
      <c r="D90">
        <v>0.28364787253988227</v>
      </c>
      <c r="E90">
        <v>-3.9331771106740403E-2</v>
      </c>
      <c r="F90">
        <v>0.25198869030987309</v>
      </c>
      <c r="G90">
        <v>0.21787209777101249</v>
      </c>
      <c r="H90">
        <v>1.7630311066750809E-2</v>
      </c>
      <c r="I90">
        <v>0.1027488174718722</v>
      </c>
      <c r="J90">
        <v>0.19754847338639361</v>
      </c>
      <c r="K90">
        <v>0.40094344906960527</v>
      </c>
      <c r="L90">
        <v>-6.0644938169391899E-2</v>
      </c>
      <c r="M90">
        <v>0.49415221478791499</v>
      </c>
      <c r="N90">
        <v>0.35066831062038151</v>
      </c>
      <c r="O90">
        <v>0.2945910202760344</v>
      </c>
      <c r="P90">
        <v>-3.737477402632181E-3</v>
      </c>
      <c r="Q90">
        <v>-0.24672421063856409</v>
      </c>
      <c r="R90">
        <v>-0.1263305205242139</v>
      </c>
      <c r="S90">
        <v>2.6942880937827089E-2</v>
      </c>
      <c r="T90">
        <v>-0.2207726480651972</v>
      </c>
      <c r="U90">
        <v>0.26534174190769799</v>
      </c>
      <c r="V90">
        <v>0.1942607790669891</v>
      </c>
      <c r="W90">
        <v>3.3532343110706783E-2</v>
      </c>
      <c r="X90">
        <v>0.22197447644606819</v>
      </c>
      <c r="Y90">
        <v>-0.1143168574671099</v>
      </c>
      <c r="Z90">
        <v>-4.4342251767528977E-2</v>
      </c>
      <c r="AA90">
        <v>-0.25469459402095912</v>
      </c>
      <c r="AB90">
        <v>-0.28563399383180338</v>
      </c>
      <c r="AC90">
        <v>3.1559648988219988E-2</v>
      </c>
      <c r="AD90">
        <v>1.1311194767126701E-2</v>
      </c>
      <c r="AE90">
        <v>-7.1320214646685464E-3</v>
      </c>
      <c r="AF90">
        <v>-0.22225707530309219</v>
      </c>
      <c r="AG90">
        <v>1.930112467205834E-3</v>
      </c>
      <c r="AH90">
        <v>-0.28600174743000462</v>
      </c>
      <c r="AI90">
        <v>-0.24606886708046691</v>
      </c>
      <c r="AJ90">
        <v>0.18688757110838919</v>
      </c>
      <c r="AK90">
        <v>3.3088485910500329E-2</v>
      </c>
      <c r="AL90">
        <v>8.0403246356739178E-2</v>
      </c>
      <c r="AM90">
        <v>0.25863078159463992</v>
      </c>
      <c r="AN90">
        <v>-0.1189859214372597</v>
      </c>
      <c r="AO90">
        <v>-3.2547918488819882E-2</v>
      </c>
      <c r="AP90">
        <v>-0.24566120555819049</v>
      </c>
      <c r="AQ90">
        <v>-0.31983312746614462</v>
      </c>
      <c r="AR90">
        <v>3.4119579325548939E-2</v>
      </c>
      <c r="AS90">
        <v>8.5462842442161555E-2</v>
      </c>
      <c r="AT90">
        <v>0.12030797100471401</v>
      </c>
      <c r="AU90">
        <v>-0.1291175920288381</v>
      </c>
      <c r="AV90">
        <v>-0.31329128820500118</v>
      </c>
      <c r="AW90">
        <v>-0.1006034118573273</v>
      </c>
      <c r="AX90">
        <v>0.14937515608308111</v>
      </c>
    </row>
    <row r="91" spans="1:50" x14ac:dyDescent="0.25">
      <c r="A91">
        <v>-4.1933250030956361E-2</v>
      </c>
      <c r="B91">
        <v>-0.18177497911080409</v>
      </c>
      <c r="C91">
        <v>-0.1182606808110435</v>
      </c>
      <c r="D91">
        <v>-0.15525685442280299</v>
      </c>
      <c r="E91">
        <v>3.7672483364743443E-2</v>
      </c>
      <c r="F91">
        <v>1.2267725423148541E-2</v>
      </c>
      <c r="G91">
        <v>-9.6826479670399743E-2</v>
      </c>
      <c r="H91">
        <v>-0.13068915496606759</v>
      </c>
      <c r="I91">
        <v>-0.14315712237597561</v>
      </c>
      <c r="J91">
        <v>-2.2530661752694289E-2</v>
      </c>
      <c r="K91">
        <v>0.27017392115627581</v>
      </c>
      <c r="L91">
        <v>3.1986061808331611E-3</v>
      </c>
      <c r="M91">
        <v>-0.16863977504333669</v>
      </c>
      <c r="N91">
        <v>0.14767086884933731</v>
      </c>
      <c r="O91">
        <v>3.3310768950489968E-3</v>
      </c>
      <c r="P91">
        <v>6.7160575643039316E-2</v>
      </c>
      <c r="Q91">
        <v>-0.24206518741533331</v>
      </c>
      <c r="R91">
        <v>-0.13016955326812729</v>
      </c>
      <c r="S91">
        <v>0.22667746868359159</v>
      </c>
      <c r="T91">
        <v>-0.14223851598735099</v>
      </c>
      <c r="U91">
        <v>-0.118442940182632</v>
      </c>
      <c r="V91">
        <v>6.8391095485707556E-2</v>
      </c>
      <c r="W91">
        <v>0.1138467638828619</v>
      </c>
      <c r="X91">
        <v>-2.0287264309899241E-2</v>
      </c>
      <c r="Y91">
        <v>-0.15191095891244771</v>
      </c>
      <c r="Z91">
        <v>0.28656394138934171</v>
      </c>
      <c r="AA91">
        <v>-0.14889169639865699</v>
      </c>
      <c r="AB91">
        <v>0.1792295323598912</v>
      </c>
      <c r="AC91">
        <v>0.1198430772652164</v>
      </c>
      <c r="AD91">
        <v>4.4824656683285342E-2</v>
      </c>
      <c r="AE91">
        <v>-6.8086095081075326E-2</v>
      </c>
      <c r="AF91">
        <v>-0.12356280643642201</v>
      </c>
      <c r="AG91">
        <v>-0.2064675059697027</v>
      </c>
      <c r="AH91">
        <v>0.13731431552260839</v>
      </c>
      <c r="AI91">
        <v>-7.8630926790126135E-2</v>
      </c>
      <c r="AJ91">
        <v>0.14441476831888289</v>
      </c>
      <c r="AK91">
        <v>-0.1053996451325173</v>
      </c>
      <c r="AL91">
        <v>-7.362155848509068E-2</v>
      </c>
      <c r="AM91">
        <v>-0.22522615846344879</v>
      </c>
      <c r="AN91">
        <v>4.7599362354660826E-3</v>
      </c>
      <c r="AO91">
        <v>-0.2102443293661376</v>
      </c>
      <c r="AP91">
        <v>1.286034971200427E-2</v>
      </c>
      <c r="AQ91">
        <v>-4.6803802210798287E-2</v>
      </c>
      <c r="AR91">
        <v>-8.7348247006352707E-3</v>
      </c>
      <c r="AS91">
        <v>8.6512631906503934E-2</v>
      </c>
      <c r="AT91">
        <v>1.592236010906941E-2</v>
      </c>
      <c r="AU91">
        <v>5.6404160684687663E-2</v>
      </c>
      <c r="AV91">
        <v>7.1713701353789544E-2</v>
      </c>
      <c r="AW91">
        <v>0.17474521681194491</v>
      </c>
      <c r="AX91">
        <v>0.2066653764621883</v>
      </c>
    </row>
    <row r="92" spans="1:50" x14ac:dyDescent="0.25">
      <c r="A92">
        <v>-0.1070932911911547</v>
      </c>
      <c r="B92">
        <v>0.1015895267041771</v>
      </c>
      <c r="C92">
        <v>0.1124610562739678</v>
      </c>
      <c r="D92">
        <v>6.347261319252142E-3</v>
      </c>
      <c r="E92">
        <v>-2.9170384215818579E-2</v>
      </c>
      <c r="F92">
        <v>-3.8200258898811228E-2</v>
      </c>
      <c r="G92">
        <v>2.3238602520775722E-2</v>
      </c>
      <c r="H92">
        <v>7.3811970069239591E-2</v>
      </c>
      <c r="I92">
        <v>-5.7226460505845352E-2</v>
      </c>
      <c r="J92">
        <v>-3.0912030854061079E-2</v>
      </c>
      <c r="K92">
        <v>0.12849652924357549</v>
      </c>
      <c r="L92">
        <v>-9.1292470347435983E-2</v>
      </c>
      <c r="M92">
        <v>3.2308009411746379E-2</v>
      </c>
      <c r="N92">
        <v>-4.5518876399014793E-2</v>
      </c>
      <c r="O92">
        <v>8.8624864457987673E-2</v>
      </c>
      <c r="P92">
        <v>0.18595644887088911</v>
      </c>
      <c r="Q92">
        <v>-8.2478803660993236E-2</v>
      </c>
      <c r="R92">
        <v>-3.7348919059756368E-2</v>
      </c>
      <c r="S92">
        <v>-8.1010730730330008E-2</v>
      </c>
      <c r="T92">
        <v>4.4966524021148598E-2</v>
      </c>
      <c r="U92">
        <v>-0.1173268356992208</v>
      </c>
      <c r="V92">
        <v>7.5335265306382598E-2</v>
      </c>
      <c r="W92">
        <v>0.21688123367236559</v>
      </c>
      <c r="X92">
        <v>0.13981626746360559</v>
      </c>
      <c r="Y92">
        <v>-2.4111955444970991E-2</v>
      </c>
      <c r="Z92">
        <v>0.1277205938545484</v>
      </c>
      <c r="AA92">
        <v>-6.3758319577050054E-2</v>
      </c>
      <c r="AB92">
        <v>-0.20309656579121649</v>
      </c>
      <c r="AC92">
        <v>-6.1741911318866291E-2</v>
      </c>
      <c r="AD92">
        <v>7.1147081926254893E-2</v>
      </c>
      <c r="AE92">
        <v>-1.6261601586987709E-2</v>
      </c>
      <c r="AF92">
        <v>-8.3209005196700783E-2</v>
      </c>
      <c r="AG92">
        <v>4.8012826153902753E-2</v>
      </c>
      <c r="AH92">
        <v>0.1204301392492292</v>
      </c>
      <c r="AI92">
        <v>-4.2758482296648262E-2</v>
      </c>
      <c r="AJ92">
        <v>1.07123352656368E-3</v>
      </c>
      <c r="AK92">
        <v>5.5305961411299218E-2</v>
      </c>
      <c r="AL92">
        <v>1.4993010110543419E-2</v>
      </c>
      <c r="AM92">
        <v>-0.1077200518005095</v>
      </c>
      <c r="AN92">
        <v>-0.1011952939422455</v>
      </c>
      <c r="AO92">
        <v>8.2648294327310995E-2</v>
      </c>
      <c r="AP92">
        <v>-4.9500879437099292E-2</v>
      </c>
      <c r="AQ92">
        <v>0.1006478259165048</v>
      </c>
      <c r="AR92">
        <v>-5.1022639970169238E-2</v>
      </c>
      <c r="AS92">
        <v>-4.5391099347102351E-2</v>
      </c>
      <c r="AT92">
        <v>-2.5618336611557931E-2</v>
      </c>
      <c r="AU92">
        <v>-0.103300786251182</v>
      </c>
      <c r="AV92">
        <v>-7.7981234703404706E-2</v>
      </c>
      <c r="AW92">
        <v>0.11804370094697671</v>
      </c>
      <c r="AX92">
        <v>9.4138884836674694E-2</v>
      </c>
    </row>
    <row r="93" spans="1:50" x14ac:dyDescent="0.25">
      <c r="A93">
        <v>-0.10115830839954509</v>
      </c>
      <c r="B93">
        <v>0.1658378070252603</v>
      </c>
      <c r="C93">
        <v>-1.422246669273329E-2</v>
      </c>
      <c r="D93">
        <v>4.503559286496818E-2</v>
      </c>
      <c r="E93">
        <v>0.18854056513766329</v>
      </c>
      <c r="F93">
        <v>-8.023441702737584E-2</v>
      </c>
      <c r="G93">
        <v>2.900826453293456E-2</v>
      </c>
      <c r="H93">
        <v>-1.229567094101491E-2</v>
      </c>
      <c r="I93">
        <v>6.4481730019696204E-2</v>
      </c>
      <c r="J93">
        <v>3.9792987500470139E-2</v>
      </c>
      <c r="K93">
        <v>6.4409135927015942E-2</v>
      </c>
      <c r="L93">
        <v>0.10887487403247741</v>
      </c>
      <c r="M93">
        <v>0.1111229234889089</v>
      </c>
      <c r="N93">
        <v>5.8374398459352696E-3</v>
      </c>
      <c r="O93">
        <v>0.1185954136574618</v>
      </c>
      <c r="P93">
        <v>3.4346465858465111E-2</v>
      </c>
      <c r="Q93">
        <v>0.1932532564830515</v>
      </c>
      <c r="R93">
        <v>-1.785629628319823E-3</v>
      </c>
      <c r="S93">
        <v>-6.8552620993098709E-2</v>
      </c>
      <c r="T93">
        <v>-2.5217518058831159E-3</v>
      </c>
      <c r="U93">
        <v>0.11917253123340379</v>
      </c>
      <c r="V93">
        <v>0.15464919051802409</v>
      </c>
      <c r="W93">
        <v>3.3039683323497167E-2</v>
      </c>
      <c r="X93">
        <v>-4.9730319982641033E-2</v>
      </c>
      <c r="Y93">
        <v>8.0250395721913448E-2</v>
      </c>
      <c r="Z93">
        <v>0.1290479236060835</v>
      </c>
      <c r="AA93">
        <v>0.1278784154143901</v>
      </c>
      <c r="AB93">
        <v>3.1351402649154661E-3</v>
      </c>
      <c r="AC93">
        <v>0.15760295409006361</v>
      </c>
      <c r="AD93">
        <v>-9.4148218286132842E-3</v>
      </c>
      <c r="AE93">
        <v>4.6035190791825498E-2</v>
      </c>
      <c r="AF93">
        <v>2.440972840162655E-2</v>
      </c>
      <c r="AG93">
        <v>8.9799667156461468E-2</v>
      </c>
      <c r="AH93">
        <v>4.721860266217294E-2</v>
      </c>
      <c r="AI93">
        <v>-2.809392528501764E-2</v>
      </c>
      <c r="AJ93">
        <v>-0.13888998632608501</v>
      </c>
      <c r="AK93">
        <v>5.1232897786125664E-4</v>
      </c>
      <c r="AL93">
        <v>6.1256777564706773E-2</v>
      </c>
      <c r="AM93">
        <v>0.1008043258273946</v>
      </c>
      <c r="AN93">
        <v>9.2596159722654836E-2</v>
      </c>
      <c r="AO93">
        <v>-2.8641846873645811E-2</v>
      </c>
      <c r="AP93">
        <v>-3.1920364126291671E-2</v>
      </c>
      <c r="AQ93">
        <v>4.7982768514848187E-2</v>
      </c>
      <c r="AR93">
        <v>7.027099050534287E-3</v>
      </c>
      <c r="AS93">
        <v>2.1682481629225588E-2</v>
      </c>
      <c r="AT93">
        <v>8.4835502753427855E-2</v>
      </c>
      <c r="AU93">
        <v>9.5842745294852077E-3</v>
      </c>
      <c r="AV93">
        <v>-3.0947467489780809E-2</v>
      </c>
      <c r="AW93">
        <v>2.3029459269063281E-2</v>
      </c>
      <c r="AX93">
        <v>8.843488253378784E-2</v>
      </c>
    </row>
    <row r="94" spans="1:50" x14ac:dyDescent="0.25">
      <c r="A94">
        <v>-0.20081053755390099</v>
      </c>
      <c r="B94">
        <v>-0.35274128940886512</v>
      </c>
      <c r="C94">
        <v>0.28455799472195631</v>
      </c>
      <c r="D94">
        <v>-0.14289754098212551</v>
      </c>
      <c r="E94">
        <v>-0.29412122990282519</v>
      </c>
      <c r="F94">
        <v>-0.24935505514198991</v>
      </c>
      <c r="G94">
        <v>7.863865377009531E-2</v>
      </c>
      <c r="H94">
        <v>2.2764809147252849E-2</v>
      </c>
      <c r="I94">
        <v>-0.18756433877868139</v>
      </c>
      <c r="J94">
        <v>1.5169448630748421E-2</v>
      </c>
      <c r="K94">
        <v>0.1249571138318032</v>
      </c>
      <c r="L94">
        <v>0.2157030694323121</v>
      </c>
      <c r="M94">
        <v>0.16107567062366959</v>
      </c>
      <c r="N94">
        <v>0.52128914920601521</v>
      </c>
      <c r="O94">
        <v>-0.13844882564201039</v>
      </c>
      <c r="P94">
        <v>-7.7357943730152451E-2</v>
      </c>
      <c r="Q94">
        <v>-0.33164123716941768</v>
      </c>
      <c r="R94">
        <v>0.88409476782093754</v>
      </c>
      <c r="S94">
        <v>0.26182010032565478</v>
      </c>
      <c r="T94">
        <v>-0.26626409366569098</v>
      </c>
      <c r="U94">
        <v>-4.8786558863580742E-2</v>
      </c>
      <c r="V94">
        <v>0.53648053256475048</v>
      </c>
      <c r="W94">
        <v>-1.198596023569821E-2</v>
      </c>
      <c r="X94">
        <v>0.29182100457214383</v>
      </c>
      <c r="Y94">
        <v>0.130270486034195</v>
      </c>
      <c r="Z94">
        <v>-0.23228536334694719</v>
      </c>
      <c r="AA94">
        <v>0.27813163786498762</v>
      </c>
      <c r="AB94">
        <v>-0.20313799918252559</v>
      </c>
      <c r="AC94">
        <v>-0.17095048639729901</v>
      </c>
      <c r="AD94">
        <v>3.8927364733365021E-2</v>
      </c>
      <c r="AE94">
        <v>0.25183398749193542</v>
      </c>
      <c r="AF94">
        <v>-0.25132625376772127</v>
      </c>
      <c r="AG94">
        <v>0.57861591734914308</v>
      </c>
      <c r="AH94">
        <v>-0.2743039595272927</v>
      </c>
      <c r="AI94">
        <v>0.13097144857350709</v>
      </c>
      <c r="AJ94">
        <v>-0.19048377981045581</v>
      </c>
      <c r="AK94">
        <v>0.34422443553243082</v>
      </c>
      <c r="AL94">
        <v>-0.31786365289573137</v>
      </c>
      <c r="AM94">
        <v>0.17238600416442931</v>
      </c>
      <c r="AN94">
        <v>0.20239184753332409</v>
      </c>
      <c r="AO94">
        <v>-0.22344867888132761</v>
      </c>
      <c r="AP94">
        <v>-0.2059901848109664</v>
      </c>
      <c r="AQ94">
        <v>-9.9795043287868521E-2</v>
      </c>
      <c r="AR94">
        <v>-0.15493813437829079</v>
      </c>
      <c r="AS94">
        <v>0.41024078171491601</v>
      </c>
      <c r="AT94">
        <v>-0.19774207370704949</v>
      </c>
      <c r="AU94">
        <v>-9.7011742860111896E-2</v>
      </c>
      <c r="AV94">
        <v>-0.19859182642199141</v>
      </c>
      <c r="AW94">
        <v>0.1501034669807465</v>
      </c>
      <c r="AX94">
        <v>0.18626576015651991</v>
      </c>
    </row>
    <row r="95" spans="1:50" x14ac:dyDescent="0.25">
      <c r="A95">
        <v>5.9754179540650199E-4</v>
      </c>
      <c r="B95">
        <v>3.3676040002741311E-2</v>
      </c>
      <c r="C95">
        <v>-2.9429535985393569E-3</v>
      </c>
      <c r="D95">
        <v>2.1149255704164351E-2</v>
      </c>
      <c r="E95">
        <v>1.6391885953933371E-4</v>
      </c>
      <c r="F95">
        <v>2.7911576825370699E-2</v>
      </c>
      <c r="G95">
        <v>1.020755947695515E-2</v>
      </c>
      <c r="H95">
        <v>-9.1583549824497471E-3</v>
      </c>
      <c r="I95">
        <v>4.598837450693484E-3</v>
      </c>
      <c r="J95">
        <v>1.945540148318721E-2</v>
      </c>
      <c r="K95">
        <v>2.0525874799336159E-2</v>
      </c>
      <c r="L95">
        <v>-1.5752309138723108E-2</v>
      </c>
      <c r="M95">
        <v>2.119354137302697E-2</v>
      </c>
      <c r="N95">
        <v>2.0065567782211639E-2</v>
      </c>
      <c r="O95">
        <v>4.0969288996404313E-2</v>
      </c>
      <c r="P95">
        <v>1.8485455656778432E-2</v>
      </c>
      <c r="Q95">
        <v>3.9274797381526401E-2</v>
      </c>
      <c r="R95">
        <v>3.354078254139032E-2</v>
      </c>
      <c r="S95">
        <v>1.731550946355994E-2</v>
      </c>
      <c r="T95">
        <v>8.2070274628333433E-3</v>
      </c>
      <c r="U95">
        <v>2.0799177388384941E-2</v>
      </c>
      <c r="V95">
        <v>1.5495162562250279E-2</v>
      </c>
      <c r="W95">
        <v>1.8254934768698321E-2</v>
      </c>
      <c r="X95">
        <v>-1.4609829000778241E-4</v>
      </c>
      <c r="Y95">
        <v>2.6837669891328651E-2</v>
      </c>
      <c r="Z95">
        <v>2.8574143036985369E-2</v>
      </c>
      <c r="AA95">
        <v>1.953518923477373E-2</v>
      </c>
      <c r="AB95">
        <v>1.3913885811358429E-2</v>
      </c>
      <c r="AC95">
        <v>1.087125132569303E-2</v>
      </c>
      <c r="AD95">
        <v>-7.5245465072099806E-3</v>
      </c>
      <c r="AE95">
        <v>2.1498382425479402E-2</v>
      </c>
      <c r="AF95">
        <v>5.6961809510360246E-3</v>
      </c>
      <c r="AG95">
        <v>2.5039381927649901E-2</v>
      </c>
      <c r="AH95">
        <v>7.7721135047862577E-3</v>
      </c>
      <c r="AI95">
        <v>2.2543483869862178E-2</v>
      </c>
      <c r="AJ95">
        <v>3.7792830333794013E-2</v>
      </c>
      <c r="AK95">
        <v>-9.720186846436614E-3</v>
      </c>
      <c r="AL95">
        <v>1.92296435208528E-2</v>
      </c>
      <c r="AM95">
        <v>9.5775760601315169E-3</v>
      </c>
      <c r="AN95">
        <v>1.233798398528714E-2</v>
      </c>
      <c r="AO95">
        <v>-6.5753439443450223E-3</v>
      </c>
      <c r="AP95">
        <v>-1.9890905630869728E-2</v>
      </c>
      <c r="AQ95">
        <v>1.7453854325136239E-2</v>
      </c>
      <c r="AR95">
        <v>3.7032059756921552E-2</v>
      </c>
      <c r="AS95">
        <v>2.344912895352344E-2</v>
      </c>
      <c r="AT95">
        <v>5.0937400974755392E-3</v>
      </c>
      <c r="AU95">
        <v>2.9580059621597089E-2</v>
      </c>
      <c r="AV95">
        <v>2.7827760835755909E-2</v>
      </c>
      <c r="AW95">
        <v>2.481097996340097E-2</v>
      </c>
      <c r="AX95">
        <v>1.807461045911464E-2</v>
      </c>
    </row>
    <row r="96" spans="1:50" x14ac:dyDescent="0.25">
      <c r="A96">
        <v>-1.6700021710575941E-2</v>
      </c>
      <c r="B96">
        <v>-0.35307142053133711</v>
      </c>
      <c r="C96">
        <v>0.1204592619829557</v>
      </c>
      <c r="D96">
        <v>-0.1617165130565304</v>
      </c>
      <c r="E96">
        <v>-0.1038491002240957</v>
      </c>
      <c r="F96">
        <v>9.8093643592489524E-2</v>
      </c>
      <c r="G96">
        <v>-0.1004619522033498</v>
      </c>
      <c r="H96">
        <v>4.2618904563654927E-2</v>
      </c>
      <c r="I96">
        <v>-1.704137256344225E-2</v>
      </c>
      <c r="J96">
        <v>0.28963633734612088</v>
      </c>
      <c r="K96">
        <v>0.26311853927168671</v>
      </c>
      <c r="L96">
        <v>0.17552183861840459</v>
      </c>
      <c r="M96">
        <v>0.2304367322066255</v>
      </c>
      <c r="N96">
        <v>3.5991319546082451E-2</v>
      </c>
      <c r="O96">
        <v>0.13127181234302021</v>
      </c>
      <c r="P96">
        <v>-8.6774476462781844E-2</v>
      </c>
      <c r="Q96">
        <v>0.11957867849643621</v>
      </c>
      <c r="R96">
        <v>0.27740177431356272</v>
      </c>
      <c r="S96">
        <v>-7.9284731194560684E-2</v>
      </c>
      <c r="T96">
        <v>-0.1127282124418421</v>
      </c>
      <c r="U96">
        <v>-2.125848414374213E-3</v>
      </c>
      <c r="V96">
        <v>-0.13158648438274009</v>
      </c>
      <c r="W96">
        <v>0.1134241124734115</v>
      </c>
      <c r="X96">
        <v>-5.0432924191403321E-2</v>
      </c>
      <c r="Y96">
        <v>0.32189752229918001</v>
      </c>
      <c r="Z96">
        <v>0.41864454285310332</v>
      </c>
      <c r="AA96">
        <v>-1.883848329574677E-3</v>
      </c>
      <c r="AB96">
        <v>-0.1740980864694178</v>
      </c>
      <c r="AC96">
        <v>-6.128123874632024E-3</v>
      </c>
      <c r="AD96">
        <v>-0.25182473298982178</v>
      </c>
      <c r="AE96">
        <v>-1.1285456399160201E-2</v>
      </c>
      <c r="AF96">
        <v>0.1991908458661541</v>
      </c>
      <c r="AG96">
        <v>-1.6943679010430389E-2</v>
      </c>
      <c r="AH96">
        <v>6.0628018877573069E-2</v>
      </c>
      <c r="AI96">
        <v>-7.7355581168789586E-2</v>
      </c>
      <c r="AJ96">
        <v>0.29811957001552453</v>
      </c>
      <c r="AK96">
        <v>-0.1127979920768175</v>
      </c>
      <c r="AL96">
        <v>-3.4065263484449861E-2</v>
      </c>
      <c r="AM96">
        <v>0.13622550919037621</v>
      </c>
      <c r="AN96">
        <v>0.15715176532171829</v>
      </c>
      <c r="AO96">
        <v>0.1812059972389293</v>
      </c>
      <c r="AP96">
        <v>0.17314564019489059</v>
      </c>
      <c r="AQ96">
        <v>0.20252151914692321</v>
      </c>
      <c r="AR96">
        <v>0.1238009265457243</v>
      </c>
      <c r="AS96">
        <v>0.1495946121399668</v>
      </c>
      <c r="AT96">
        <v>9.462642453500604E-2</v>
      </c>
      <c r="AU96">
        <v>-0.14796149552191989</v>
      </c>
      <c r="AV96">
        <v>1.538666603891008E-2</v>
      </c>
      <c r="AW96">
        <v>-9.328364753520986E-2</v>
      </c>
      <c r="AX96">
        <v>0.11191940942969431</v>
      </c>
    </row>
    <row r="97" spans="1:50" x14ac:dyDescent="0.25">
      <c r="A97">
        <v>-6.2717069377990861E-2</v>
      </c>
      <c r="B97">
        <v>1.6261613628191271E-2</v>
      </c>
      <c r="C97">
        <v>-0.195843662155057</v>
      </c>
      <c r="D97">
        <v>0.21621580947839439</v>
      </c>
      <c r="E97">
        <v>-0.24000899907800199</v>
      </c>
      <c r="F97">
        <v>0.38589317111511751</v>
      </c>
      <c r="G97">
        <v>0.25473425887167173</v>
      </c>
      <c r="H97">
        <v>0.23286335219391521</v>
      </c>
      <c r="I97">
        <v>-2.7709431316170399E-2</v>
      </c>
      <c r="J97">
        <v>0.54022172141069302</v>
      </c>
      <c r="K97">
        <v>7.4619363512479789E-2</v>
      </c>
      <c r="L97">
        <v>-6.0494153372812991E-2</v>
      </c>
      <c r="M97">
        <v>-0.2069069152460368</v>
      </c>
      <c r="N97">
        <v>0.1849522175098143</v>
      </c>
      <c r="O97">
        <v>0.62283647636848527</v>
      </c>
      <c r="P97">
        <v>0.31368899821978141</v>
      </c>
      <c r="Q97">
        <v>9.0486435469440726E-2</v>
      </c>
      <c r="R97">
        <v>7.2519513536181787E-2</v>
      </c>
      <c r="S97">
        <v>0.2291340025805039</v>
      </c>
      <c r="T97">
        <v>2.7950760258533418E-2</v>
      </c>
      <c r="U97">
        <v>-0.1028103221288887</v>
      </c>
      <c r="V97">
        <v>-6.5801131271165866E-2</v>
      </c>
      <c r="W97">
        <v>-1.212823364254473E-2</v>
      </c>
      <c r="X97">
        <v>0.33330592533301961</v>
      </c>
      <c r="Y97">
        <v>0.13593802571375041</v>
      </c>
      <c r="Z97">
        <v>0.26529149877854891</v>
      </c>
      <c r="AA97">
        <v>0.26095704101497458</v>
      </c>
      <c r="AB97">
        <v>-9.5357892802207314E-2</v>
      </c>
      <c r="AC97">
        <v>9.6623569001469067E-2</v>
      </c>
      <c r="AD97">
        <v>-8.87777139055487E-2</v>
      </c>
      <c r="AE97">
        <v>-0.1042219329181388</v>
      </c>
      <c r="AF97">
        <v>0.49944040245485988</v>
      </c>
      <c r="AG97">
        <v>-0.24408865019384979</v>
      </c>
      <c r="AH97">
        <v>-0.1275476963091581</v>
      </c>
      <c r="AI97">
        <v>4.0805351082845907E-2</v>
      </c>
      <c r="AJ97">
        <v>0.20236991605690491</v>
      </c>
      <c r="AK97">
        <v>-0.10890045995811271</v>
      </c>
      <c r="AL97">
        <v>-5.1863692469108942E-2</v>
      </c>
      <c r="AM97">
        <v>-9.3460636406230604E-2</v>
      </c>
      <c r="AN97">
        <v>-1.075908550665231E-2</v>
      </c>
      <c r="AO97">
        <v>-3.2939821901467298E-2</v>
      </c>
      <c r="AP97">
        <v>-0.2158916870274919</v>
      </c>
      <c r="AQ97">
        <v>-0.18466310369266889</v>
      </c>
      <c r="AR97">
        <v>0.40858832054405869</v>
      </c>
      <c r="AS97">
        <v>-0.1216374037429848</v>
      </c>
      <c r="AT97">
        <v>4.6720929217158702E-2</v>
      </c>
      <c r="AU97">
        <v>0.64332704299186461</v>
      </c>
      <c r="AV97">
        <v>0.1515948709502746</v>
      </c>
      <c r="AW97">
        <v>-0.2466067131973331</v>
      </c>
      <c r="AX97">
        <v>-8.0335947769159005E-2</v>
      </c>
    </row>
    <row r="98" spans="1:50" x14ac:dyDescent="0.25">
      <c r="A98">
        <v>-6.1296599314077903E-2</v>
      </c>
      <c r="B98">
        <v>7.7215162457892936E-2</v>
      </c>
      <c r="C98">
        <v>-2.327566362716901E-2</v>
      </c>
      <c r="D98">
        <v>6.4797163108921488E-2</v>
      </c>
      <c r="E98">
        <v>-2.2936447722969839E-2</v>
      </c>
      <c r="F98">
        <v>-3.3040603039401848E-3</v>
      </c>
      <c r="G98">
        <v>-0.13323955383924879</v>
      </c>
      <c r="H98">
        <v>-9.5099352834708648E-2</v>
      </c>
      <c r="I98">
        <v>-5.8357511101048427E-2</v>
      </c>
      <c r="J98">
        <v>2.8012506788801239E-3</v>
      </c>
      <c r="K98">
        <v>-0.1594035666575834</v>
      </c>
      <c r="L98">
        <v>3.7998943332657659E-2</v>
      </c>
      <c r="M98">
        <v>8.7714656761374007E-2</v>
      </c>
      <c r="N98">
        <v>8.3064569874912748E-3</v>
      </c>
      <c r="O98">
        <v>9.2078130430402583E-2</v>
      </c>
      <c r="P98">
        <v>9.830765914923062E-2</v>
      </c>
      <c r="Q98">
        <v>-2.8437323230263021E-2</v>
      </c>
      <c r="R98">
        <v>-0.1140816895948143</v>
      </c>
      <c r="S98">
        <v>2.9592151830268081E-2</v>
      </c>
      <c r="T98">
        <v>4.4750709060745179E-2</v>
      </c>
      <c r="U98">
        <v>-8.4684385420061403E-2</v>
      </c>
      <c r="V98">
        <v>0.1638516508563283</v>
      </c>
      <c r="W98">
        <v>1.915362900388387E-3</v>
      </c>
      <c r="X98">
        <v>0.123248889321139</v>
      </c>
      <c r="Y98">
        <v>1.1664978144825521E-2</v>
      </c>
      <c r="Z98">
        <v>0.19430027217464821</v>
      </c>
      <c r="AA98">
        <v>5.2422636716402703E-2</v>
      </c>
      <c r="AB98">
        <v>-2.4313779909626541E-2</v>
      </c>
      <c r="AC98">
        <v>0.14901642744861621</v>
      </c>
      <c r="AD98">
        <v>-5.6510752727368392E-2</v>
      </c>
      <c r="AE98">
        <v>-5.6183157761643988E-2</v>
      </c>
      <c r="AF98">
        <v>-0.1160290236110938</v>
      </c>
      <c r="AG98">
        <v>9.3538611532953411E-2</v>
      </c>
      <c r="AH98">
        <v>0.19600785910947399</v>
      </c>
      <c r="AI98">
        <v>0.14677545326768901</v>
      </c>
      <c r="AJ98">
        <v>0.2480489329559955</v>
      </c>
      <c r="AK98">
        <v>-7.2734497026365239E-2</v>
      </c>
      <c r="AL98">
        <v>-5.1321949128227053E-2</v>
      </c>
      <c r="AM98">
        <v>-0.1166452022363384</v>
      </c>
      <c r="AN98">
        <v>0.1597985847416718</v>
      </c>
      <c r="AO98">
        <v>1.9575281932201181E-2</v>
      </c>
      <c r="AP98">
        <v>0.2260724617935129</v>
      </c>
      <c r="AQ98">
        <v>0.12826682083175159</v>
      </c>
      <c r="AR98">
        <v>-1.1418710122625519E-2</v>
      </c>
      <c r="AS98">
        <v>6.1793121739493861E-2</v>
      </c>
      <c r="AT98">
        <v>-7.2145676929270292E-2</v>
      </c>
      <c r="AU98">
        <v>8.5934438989708067E-2</v>
      </c>
      <c r="AV98">
        <v>0.1713671945075885</v>
      </c>
      <c r="AW98">
        <v>6.4469649419850283E-2</v>
      </c>
      <c r="AX98">
        <v>0.17794342349670669</v>
      </c>
    </row>
    <row r="99" spans="1:50" x14ac:dyDescent="0.25">
      <c r="A99">
        <v>-0.11027114692938859</v>
      </c>
      <c r="B99">
        <v>7.4930984590818484E-2</v>
      </c>
      <c r="C99">
        <v>0.30664567147856631</v>
      </c>
      <c r="D99">
        <v>-6.3127601948333889E-2</v>
      </c>
      <c r="E99">
        <v>0.2301262975154435</v>
      </c>
      <c r="F99">
        <v>-5.1839637082733807E-2</v>
      </c>
      <c r="G99">
        <v>0.28398436473434768</v>
      </c>
      <c r="H99">
        <v>2.1597329593734779E-2</v>
      </c>
      <c r="I99">
        <v>0.3934144812615995</v>
      </c>
      <c r="J99">
        <v>0.19285201749792091</v>
      </c>
      <c r="K99">
        <v>5.7497797434443547E-2</v>
      </c>
      <c r="L99">
        <v>-5.1409950367000253E-2</v>
      </c>
      <c r="M99">
        <v>1.8200005771951619E-2</v>
      </c>
      <c r="N99">
        <v>-0.14860165692454599</v>
      </c>
      <c r="O99">
        <v>0.30729573435284319</v>
      </c>
      <c r="P99">
        <v>9.159405866456713E-2</v>
      </c>
      <c r="Q99">
        <v>2.3354029496344109E-3</v>
      </c>
      <c r="R99">
        <v>0.20763252915437999</v>
      </c>
      <c r="S99">
        <v>0.25968509548400992</v>
      </c>
      <c r="T99">
        <v>0.26182677199127752</v>
      </c>
      <c r="U99">
        <v>0.2321468680559815</v>
      </c>
      <c r="V99">
        <v>-0.1268957365836389</v>
      </c>
      <c r="W99">
        <v>4.5368093434956361E-2</v>
      </c>
      <c r="X99">
        <v>-0.17164412867257731</v>
      </c>
      <c r="Y99">
        <v>6.9070833880355439E-2</v>
      </c>
      <c r="Z99">
        <v>-3.4405207118447773E-2</v>
      </c>
      <c r="AA99">
        <v>-0.1110664317898389</v>
      </c>
      <c r="AB99">
        <v>-8.5912770688883172E-2</v>
      </c>
      <c r="AC99">
        <v>-2.313255901764941E-2</v>
      </c>
      <c r="AD99">
        <v>-5.3447796149400227E-2</v>
      </c>
      <c r="AE99">
        <v>0.1426467947865627</v>
      </c>
      <c r="AF99">
        <v>-0.1401388046093536</v>
      </c>
      <c r="AG99">
        <v>0.18752700596196889</v>
      </c>
      <c r="AH99">
        <v>-0.21601740295931501</v>
      </c>
      <c r="AI99">
        <v>0.29443906370965228</v>
      </c>
      <c r="AJ99">
        <v>0.29871441382788849</v>
      </c>
      <c r="AK99">
        <v>0.31954107788008229</v>
      </c>
      <c r="AL99">
        <v>-0.1004313888119783</v>
      </c>
      <c r="AM99">
        <v>-3.5959971279262877E-2</v>
      </c>
      <c r="AN99">
        <v>0.18581319893929679</v>
      </c>
      <c r="AO99">
        <v>-0.25486769371972562</v>
      </c>
      <c r="AP99">
        <v>-0.14650899175732379</v>
      </c>
      <c r="AQ99">
        <v>-8.1440982035501739E-3</v>
      </c>
      <c r="AR99">
        <v>0.18294194844877659</v>
      </c>
      <c r="AS99">
        <v>-8.0007085691549032E-2</v>
      </c>
      <c r="AT99">
        <v>0.1127072746694292</v>
      </c>
      <c r="AU99">
        <v>3.7528182619613298E-2</v>
      </c>
      <c r="AV99">
        <v>-2.926967554449841E-2</v>
      </c>
      <c r="AW99">
        <v>7.9785688460303747E-2</v>
      </c>
      <c r="AX99">
        <v>0.12160674383329791</v>
      </c>
    </row>
    <row r="100" spans="1:50" x14ac:dyDescent="0.25">
      <c r="A100">
        <v>-1.6622349462136209E-2</v>
      </c>
      <c r="B100">
        <v>-0.27072562451236032</v>
      </c>
      <c r="C100">
        <v>-5.2784327877293587E-3</v>
      </c>
      <c r="D100">
        <v>3.8627381377755718E-2</v>
      </c>
      <c r="E100">
        <v>-0.67156168984704978</v>
      </c>
      <c r="F100">
        <v>0.49685918599612122</v>
      </c>
      <c r="G100">
        <v>-0.67953331972126718</v>
      </c>
      <c r="H100">
        <v>0.3188043167026744</v>
      </c>
      <c r="I100">
        <v>0.31742582343325682</v>
      </c>
      <c r="J100">
        <v>-0.24127679280991679</v>
      </c>
      <c r="K100">
        <v>-2.9601672739537462E-2</v>
      </c>
      <c r="L100">
        <v>-0.15789539269082939</v>
      </c>
      <c r="M100">
        <v>-0.6404798850485891</v>
      </c>
      <c r="N100">
        <v>2.6325666162777921E-2</v>
      </c>
      <c r="O100">
        <v>-0.10575203392147151</v>
      </c>
      <c r="P100">
        <v>0.1587014352973215</v>
      </c>
      <c r="Q100">
        <v>0.3063876289022065</v>
      </c>
      <c r="R100">
        <v>-9.3570911783712782E-2</v>
      </c>
      <c r="S100">
        <v>0.44316082982237748</v>
      </c>
      <c r="T100">
        <v>7.3542795531173016E-2</v>
      </c>
      <c r="U100">
        <v>-2.3134984736339889E-2</v>
      </c>
      <c r="V100">
        <v>0.3891064134330246</v>
      </c>
      <c r="W100">
        <v>0.29383219146446599</v>
      </c>
      <c r="X100">
        <v>-6.9791772078184738E-2</v>
      </c>
      <c r="Y100">
        <v>-5.4270951740663168E-2</v>
      </c>
      <c r="Z100">
        <v>0.15012086508164149</v>
      </c>
      <c r="AA100">
        <v>2.105349293925295E-2</v>
      </c>
      <c r="AB100">
        <v>-0.30815012390991259</v>
      </c>
      <c r="AC100">
        <v>-0.39195306384950779</v>
      </c>
      <c r="AD100">
        <v>0.25932160661150699</v>
      </c>
      <c r="AE100">
        <v>0.42126298014716951</v>
      </c>
      <c r="AF100">
        <v>-0.58009365576663185</v>
      </c>
      <c r="AG100">
        <v>-0.38492368141089972</v>
      </c>
      <c r="AH100">
        <v>0.20915661402754571</v>
      </c>
      <c r="AI100">
        <v>-0.28265952804255717</v>
      </c>
      <c r="AJ100">
        <v>0.14835932785401401</v>
      </c>
      <c r="AK100">
        <v>-0.15782301984779951</v>
      </c>
      <c r="AL100">
        <v>0.18153652826012409</v>
      </c>
      <c r="AM100">
        <v>-0.21391242849055489</v>
      </c>
      <c r="AN100">
        <v>-1.214562460740044E-2</v>
      </c>
      <c r="AO100">
        <v>-0.19017571805358149</v>
      </c>
      <c r="AP100">
        <v>0.14573303661212131</v>
      </c>
      <c r="AQ100">
        <v>0.2277091312120762</v>
      </c>
      <c r="AR100">
        <v>0.62606225926770442</v>
      </c>
      <c r="AS100">
        <v>-0.31589936209069158</v>
      </c>
      <c r="AT100">
        <v>0.1702469328517339</v>
      </c>
      <c r="AU100">
        <v>-0.57323709959621361</v>
      </c>
      <c r="AV100">
        <v>4.8093214995017793E-2</v>
      </c>
      <c r="AW100">
        <v>0.30007804563913909</v>
      </c>
      <c r="AX100">
        <v>-8.5432306789299889E-2</v>
      </c>
    </row>
    <row r="101" spans="1:50" x14ac:dyDescent="0.25">
      <c r="A101">
        <v>4.4098429919147447E-2</v>
      </c>
      <c r="B101">
        <v>0.1583901139244451</v>
      </c>
      <c r="C101">
        <v>5.524737361390443E-2</v>
      </c>
      <c r="D101">
        <v>0.1077314400771774</v>
      </c>
      <c r="E101">
        <v>-1.3811055737523991E-2</v>
      </c>
      <c r="F101">
        <v>2.179162432682635E-2</v>
      </c>
      <c r="G101">
        <v>9.1588043000928265E-2</v>
      </c>
      <c r="H101">
        <v>8.7679904346197116E-2</v>
      </c>
      <c r="I101">
        <v>9.0807255068474022E-2</v>
      </c>
      <c r="J101">
        <v>-0.21235311317405309</v>
      </c>
      <c r="K101">
        <v>0.13724490402726189</v>
      </c>
      <c r="L101">
        <v>-0.12683569020081861</v>
      </c>
      <c r="M101">
        <v>-1.665717758484252E-2</v>
      </c>
      <c r="N101">
        <v>-7.8962080030509155E-2</v>
      </c>
      <c r="O101">
        <v>8.3344877939053347E-2</v>
      </c>
      <c r="P101">
        <v>-0.18657763433991889</v>
      </c>
      <c r="Q101">
        <v>0.15289804568375881</v>
      </c>
      <c r="R101">
        <v>-3.2689912636032999E-2</v>
      </c>
      <c r="S101">
        <v>-0.172538002390179</v>
      </c>
      <c r="T101">
        <v>3.5646336188731469E-2</v>
      </c>
      <c r="U101">
        <v>5.4819466002953787E-2</v>
      </c>
      <c r="V101">
        <v>1.7363164534782288E-2</v>
      </c>
      <c r="W101">
        <v>9.7620152761605274E-3</v>
      </c>
      <c r="X101">
        <v>8.1553806495611336E-2</v>
      </c>
      <c r="Y101">
        <v>5.5791985218204027E-2</v>
      </c>
      <c r="Z101">
        <v>0.15406058653703081</v>
      </c>
      <c r="AA101">
        <v>0.1228713852609411</v>
      </c>
      <c r="AB101">
        <v>-4.0063210276121378E-2</v>
      </c>
      <c r="AC101">
        <v>0.1585543792336595</v>
      </c>
      <c r="AD101">
        <v>7.0956105364720648E-2</v>
      </c>
      <c r="AE101">
        <v>-0.1575943991326923</v>
      </c>
      <c r="AF101">
        <v>2.14151999927353E-2</v>
      </c>
      <c r="AG101">
        <v>8.7787342444588551E-2</v>
      </c>
      <c r="AH101">
        <v>0.12662640407120379</v>
      </c>
      <c r="AI101">
        <v>4.9377818941189283E-2</v>
      </c>
      <c r="AJ101">
        <v>-0.15099669033491669</v>
      </c>
      <c r="AK101">
        <v>-4.2935577196186542E-2</v>
      </c>
      <c r="AL101">
        <v>9.9379032192519701E-2</v>
      </c>
      <c r="AM101">
        <v>8.9805964204930699E-2</v>
      </c>
      <c r="AN101">
        <v>5.9351202898484862E-2</v>
      </c>
      <c r="AO101">
        <v>-5.0369880065000969E-2</v>
      </c>
      <c r="AP101">
        <v>3.1992862419822569E-2</v>
      </c>
      <c r="AQ101">
        <v>0.11053564864650529</v>
      </c>
      <c r="AR101">
        <v>5.8529114888860603E-2</v>
      </c>
      <c r="AS101">
        <v>-4.7364402755356423E-2</v>
      </c>
      <c r="AT101">
        <v>-1.175797031445436E-2</v>
      </c>
      <c r="AU101">
        <v>-6.2483304235230359E-2</v>
      </c>
      <c r="AV101">
        <v>7.1455354479614652E-2</v>
      </c>
      <c r="AW101">
        <v>-9.1654253523707589E-3</v>
      </c>
      <c r="AX101">
        <v>-9.2776183758917982E-2</v>
      </c>
    </row>
    <row r="102" spans="1:50" x14ac:dyDescent="0.25">
      <c r="A102">
        <v>-0.76128158585117156</v>
      </c>
      <c r="B102">
        <v>-0.1039311873917982</v>
      </c>
      <c r="C102">
        <v>1.0952799226886479E-2</v>
      </c>
      <c r="D102">
        <v>5.6278609475566961E-2</v>
      </c>
      <c r="E102">
        <v>-0.6493412468334534</v>
      </c>
      <c r="F102">
        <v>2.932122668398713E-2</v>
      </c>
      <c r="G102">
        <v>0.62503989609880484</v>
      </c>
      <c r="H102">
        <v>0.63921420981114541</v>
      </c>
      <c r="I102">
        <v>-0.65350187943494475</v>
      </c>
      <c r="J102">
        <v>0.13343342438506289</v>
      </c>
      <c r="K102">
        <v>-0.1698256927515944</v>
      </c>
      <c r="L102">
        <v>-0.44527688212066191</v>
      </c>
      <c r="M102">
        <v>0.66687710675571077</v>
      </c>
      <c r="N102">
        <v>0.45965388830091058</v>
      </c>
      <c r="O102">
        <v>-0.69390737712645678</v>
      </c>
      <c r="P102">
        <v>-0.11321255748421991</v>
      </c>
      <c r="Q102">
        <v>0.42855788083891838</v>
      </c>
      <c r="R102">
        <v>-0.68668754962003231</v>
      </c>
      <c r="S102">
        <v>0.28952338786160159</v>
      </c>
      <c r="T102">
        <v>-0.73026534067017457</v>
      </c>
      <c r="U102">
        <v>0.14840133186354049</v>
      </c>
      <c r="V102">
        <v>0.20813057055686751</v>
      </c>
      <c r="W102">
        <v>-0.36749402037588219</v>
      </c>
      <c r="X102">
        <v>-0.89819084395609061</v>
      </c>
      <c r="Y102">
        <v>0.61929305193818573</v>
      </c>
      <c r="Z102">
        <v>0.51149153826250227</v>
      </c>
      <c r="AA102">
        <v>0.21406697053520701</v>
      </c>
      <c r="AB102">
        <v>0.20259818276247679</v>
      </c>
      <c r="AC102">
        <v>0.77708792750609623</v>
      </c>
      <c r="AD102">
        <v>0.31896947221122091</v>
      </c>
      <c r="AE102">
        <v>0.59234978839484453</v>
      </c>
      <c r="AF102">
        <v>8.4516868957768457E-2</v>
      </c>
      <c r="AG102">
        <v>0.31348107573810358</v>
      </c>
      <c r="AH102">
        <v>-0.41500694925962001</v>
      </c>
      <c r="AI102">
        <v>0.20892907124060611</v>
      </c>
      <c r="AJ102">
        <v>0.33147074785703667</v>
      </c>
      <c r="AK102">
        <v>-4.5553649171979203E-2</v>
      </c>
      <c r="AL102">
        <v>1.3736347186242779E-2</v>
      </c>
      <c r="AM102">
        <v>3.359271489237009E-2</v>
      </c>
      <c r="AN102">
        <v>0.6550354512446942</v>
      </c>
      <c r="AO102">
        <v>-0.60255298067580765</v>
      </c>
      <c r="AP102">
        <v>-0.57704100327826346</v>
      </c>
      <c r="AQ102">
        <v>-0.1015560530006188</v>
      </c>
      <c r="AR102">
        <v>0.45202719412841458</v>
      </c>
      <c r="AS102">
        <v>-0.1641050721658234</v>
      </c>
      <c r="AT102">
        <v>0.59941011429592639</v>
      </c>
      <c r="AU102">
        <v>0.29519234167733538</v>
      </c>
      <c r="AV102">
        <v>0.1115510840733851</v>
      </c>
      <c r="AW102">
        <v>-0.26600442801581392</v>
      </c>
      <c r="AX102">
        <v>-0.28435627252562401</v>
      </c>
    </row>
    <row r="103" spans="1:50" x14ac:dyDescent="0.25">
      <c r="A103">
        <v>0.10378357467739451</v>
      </c>
      <c r="B103">
        <v>-5.5665113302652947E-2</v>
      </c>
      <c r="C103">
        <v>-0.2957903404796895</v>
      </c>
      <c r="D103">
        <v>-0.28419787509094208</v>
      </c>
      <c r="E103">
        <v>0.1240754040224655</v>
      </c>
      <c r="F103">
        <v>-0.1807160816922255</v>
      </c>
      <c r="G103">
        <v>-0.38500694481212261</v>
      </c>
      <c r="H103">
        <v>-0.32398715121594501</v>
      </c>
      <c r="I103">
        <v>-0.3243180657540593</v>
      </c>
      <c r="J103">
        <v>0.3549379610158685</v>
      </c>
      <c r="K103">
        <v>4.3550426707023138E-2</v>
      </c>
      <c r="L103">
        <v>9.973723939212328E-3</v>
      </c>
      <c r="M103">
        <v>-0.1564703430499054</v>
      </c>
      <c r="N103">
        <v>0.13323751620307189</v>
      </c>
      <c r="O103">
        <v>-9.4468565446787875E-2</v>
      </c>
      <c r="P103">
        <v>4.4441574866414908E-3</v>
      </c>
      <c r="Q103">
        <v>-0.22055422098880131</v>
      </c>
      <c r="R103">
        <v>1.208269792883283E-2</v>
      </c>
      <c r="S103">
        <v>0.13228072711009869</v>
      </c>
      <c r="T103">
        <v>-0.12769416788820781</v>
      </c>
      <c r="U103">
        <v>-0.2486540565129792</v>
      </c>
      <c r="V103">
        <v>2.554431603244417E-2</v>
      </c>
      <c r="W103">
        <v>-0.30971971359471628</v>
      </c>
      <c r="X103">
        <v>-1.2353897901973219E-2</v>
      </c>
      <c r="Y103">
        <v>-0.25108820791332348</v>
      </c>
      <c r="Z103">
        <v>-0.93982664917944014</v>
      </c>
      <c r="AA103">
        <v>0.21936166592681891</v>
      </c>
      <c r="AB103">
        <v>-0.66347357958537145</v>
      </c>
      <c r="AC103">
        <v>-0.37851196753600158</v>
      </c>
      <c r="AD103">
        <v>0.25123288155778228</v>
      </c>
      <c r="AE103">
        <v>-0.1529903802700181</v>
      </c>
      <c r="AF103">
        <v>-0.14097417331653431</v>
      </c>
      <c r="AG103">
        <v>0.1281727044078608</v>
      </c>
      <c r="AH103">
        <v>-0.46813989163509429</v>
      </c>
      <c r="AI103">
        <v>-5.6353290195640907E-2</v>
      </c>
      <c r="AJ103">
        <v>-8.7940206874767349E-2</v>
      </c>
      <c r="AK103">
        <v>0.18630011316754061</v>
      </c>
      <c r="AL103">
        <v>-0.19972249140691789</v>
      </c>
      <c r="AM103">
        <v>-0.44607033592919981</v>
      </c>
      <c r="AN103">
        <v>-0.28152501394665908</v>
      </c>
      <c r="AO103">
        <v>-0.51095767560434668</v>
      </c>
      <c r="AP103">
        <v>-3.479038518531806E-2</v>
      </c>
      <c r="AQ103">
        <v>0.12264282724695259</v>
      </c>
      <c r="AR103">
        <v>-3.7145268072008068E-2</v>
      </c>
      <c r="AS103">
        <v>3.1791269792664903E-2</v>
      </c>
      <c r="AT103">
        <v>-0.1369117840206335</v>
      </c>
      <c r="AU103">
        <v>0.31308497374800132</v>
      </c>
      <c r="AV103">
        <v>0.15336308558041259</v>
      </c>
      <c r="AW103">
        <v>-8.6346037528318834E-2</v>
      </c>
      <c r="AX103">
        <v>-0.37302320864703292</v>
      </c>
    </row>
    <row r="104" spans="1:50" x14ac:dyDescent="0.25">
      <c r="A104">
        <v>-0.52832248368050838</v>
      </c>
      <c r="B104">
        <v>-8.2943697250516771E-2</v>
      </c>
      <c r="C104">
        <v>-0.15515997864092879</v>
      </c>
      <c r="D104">
        <v>0.58445498557072983</v>
      </c>
      <c r="E104">
        <v>-0.87079664990835526</v>
      </c>
      <c r="F104">
        <v>0.45592582733671899</v>
      </c>
      <c r="G104">
        <v>-0.5600546779018365</v>
      </c>
      <c r="H104">
        <v>0.61823486420235674</v>
      </c>
      <c r="I104">
        <v>-0.66815914180872427</v>
      </c>
      <c r="J104">
        <v>-5.3921167787553667E-2</v>
      </c>
      <c r="K104">
        <v>-0.47654887964620463</v>
      </c>
      <c r="L104">
        <v>-8.1754566840708365E-2</v>
      </c>
      <c r="M104">
        <v>0.97569923324092322</v>
      </c>
      <c r="N104">
        <v>-0.25396100590250781</v>
      </c>
      <c r="O104">
        <v>0.2816628275633884</v>
      </c>
      <c r="P104">
        <v>0.37478130883757987</v>
      </c>
      <c r="Q104">
        <v>-0.77459814848876063</v>
      </c>
      <c r="R104">
        <v>-0.2483143369616054</v>
      </c>
      <c r="S104">
        <v>-0.49141107071645179</v>
      </c>
      <c r="T104">
        <v>-0.23896921608079669</v>
      </c>
      <c r="U104">
        <v>0.27949703410600563</v>
      </c>
      <c r="V104">
        <v>0.12956298350600501</v>
      </c>
      <c r="W104">
        <v>6.8063009018365234E-2</v>
      </c>
      <c r="X104">
        <v>-0.76987612553894624</v>
      </c>
      <c r="Y104">
        <v>0.7065112220812384</v>
      </c>
      <c r="Z104">
        <v>0.82976868314069641</v>
      </c>
      <c r="AA104">
        <v>0.18666870266045951</v>
      </c>
      <c r="AB104">
        <v>0.61236922880317213</v>
      </c>
      <c r="AC104">
        <v>0.1198609157981185</v>
      </c>
      <c r="AD104">
        <v>0.63088831477338203</v>
      </c>
      <c r="AE104">
        <v>0.4088453063143872</v>
      </c>
      <c r="AF104">
        <v>-0.56915767074248125</v>
      </c>
      <c r="AG104">
        <v>0.17243868460111261</v>
      </c>
      <c r="AH104">
        <v>3.0560225368639699E-2</v>
      </c>
      <c r="AI104">
        <v>0.1026688628461636</v>
      </c>
      <c r="AJ104">
        <v>-0.37076964184676242</v>
      </c>
      <c r="AK104">
        <v>-0.225522373401531</v>
      </c>
      <c r="AL104">
        <v>0.23880142531735951</v>
      </c>
      <c r="AM104">
        <v>9.5032957226907785E-2</v>
      </c>
      <c r="AN104">
        <v>-3.8666019311762328E-4</v>
      </c>
      <c r="AO104">
        <v>0.44669064086657029</v>
      </c>
      <c r="AP104">
        <v>-0.28875535412849401</v>
      </c>
      <c r="AQ104">
        <v>-0.1180232598207354</v>
      </c>
      <c r="AR104">
        <v>-0.56014743801181943</v>
      </c>
      <c r="AS104">
        <v>-0.76221028874705055</v>
      </c>
      <c r="AT104">
        <v>0.57407538549671255</v>
      </c>
      <c r="AU104">
        <v>-0.37570661571509328</v>
      </c>
      <c r="AV104">
        <v>-0.75755553631552697</v>
      </c>
      <c r="AW104">
        <v>-0.19782469266916561</v>
      </c>
      <c r="AX104">
        <v>-0.29583328313842372</v>
      </c>
    </row>
    <row r="105" spans="1:50" x14ac:dyDescent="0.25">
      <c r="A105">
        <v>2.161750440727269E-2</v>
      </c>
      <c r="B105">
        <v>4.3576430599004373E-2</v>
      </c>
      <c r="C105">
        <v>0.18536692651097689</v>
      </c>
      <c r="D105">
        <v>-6.4494681777569507E-2</v>
      </c>
      <c r="E105">
        <v>4.0819882141852372E-2</v>
      </c>
      <c r="F105">
        <v>6.5169763941051936E-2</v>
      </c>
      <c r="G105">
        <v>0.13966604277100489</v>
      </c>
      <c r="H105">
        <v>-0.14091563861903381</v>
      </c>
      <c r="I105">
        <v>2.0704680571600239E-3</v>
      </c>
      <c r="J105">
        <v>5.68368968413046E-2</v>
      </c>
      <c r="K105">
        <v>0.1454281203199107</v>
      </c>
      <c r="L105">
        <v>-4.8995594437484552E-2</v>
      </c>
      <c r="M105">
        <v>2.757520926123763E-3</v>
      </c>
      <c r="N105">
        <v>6.2282174463267018E-2</v>
      </c>
      <c r="O105">
        <v>-2.956778149970675E-3</v>
      </c>
      <c r="P105">
        <v>0.15693659865415349</v>
      </c>
      <c r="Q105">
        <v>0.1936794686418003</v>
      </c>
      <c r="R105">
        <v>-7.8051468398856461E-2</v>
      </c>
      <c r="S105">
        <v>-5.4844652019687773E-2</v>
      </c>
      <c r="T105">
        <v>1.7538664226298059E-2</v>
      </c>
      <c r="U105">
        <v>-6.0133835288914923E-2</v>
      </c>
      <c r="V105">
        <v>5.7426663218563267E-2</v>
      </c>
      <c r="W105">
        <v>1.9472802126859892E-2</v>
      </c>
      <c r="X105">
        <v>-0.20945038077571321</v>
      </c>
      <c r="Y105">
        <v>0.18895376416474849</v>
      </c>
      <c r="Z105">
        <v>1.0113731467640229E-2</v>
      </c>
      <c r="AA105">
        <v>-1.406307805774982E-2</v>
      </c>
      <c r="AB105">
        <v>-5.0986453147068039E-2</v>
      </c>
      <c r="AC105">
        <v>-5.1253601369691329E-2</v>
      </c>
      <c r="AD105">
        <v>2.128357636831265E-2</v>
      </c>
      <c r="AE105">
        <v>0.107570893544903</v>
      </c>
      <c r="AF105">
        <v>-1.875111590711189E-3</v>
      </c>
      <c r="AG105">
        <v>-0.1676782606655898</v>
      </c>
      <c r="AH105">
        <v>0.14344872633216199</v>
      </c>
      <c r="AI105">
        <v>2.3637662087680741E-2</v>
      </c>
      <c r="AJ105">
        <v>4.4932367422699147E-2</v>
      </c>
      <c r="AK105">
        <v>0.1537191749039036</v>
      </c>
      <c r="AL105">
        <v>0.18667463542839391</v>
      </c>
      <c r="AM105">
        <v>-2.3407788614172201E-2</v>
      </c>
      <c r="AN105">
        <v>0.16736774880432251</v>
      </c>
      <c r="AO105">
        <v>5.838982174228984E-3</v>
      </c>
      <c r="AP105">
        <v>-4.4494808689247579E-2</v>
      </c>
      <c r="AQ105">
        <v>3.2167709506602693E-2</v>
      </c>
      <c r="AR105">
        <v>1.6904221344153599E-2</v>
      </c>
      <c r="AS105">
        <v>-8.1950725209460326E-2</v>
      </c>
      <c r="AT105">
        <v>0.12817822412627719</v>
      </c>
      <c r="AU105">
        <v>-0.10963379569023191</v>
      </c>
      <c r="AV105">
        <v>-2.9139991210459411E-2</v>
      </c>
      <c r="AW105">
        <v>4.0390122915095292E-2</v>
      </c>
      <c r="AX105">
        <v>0.13653299176615491</v>
      </c>
    </row>
    <row r="106" spans="1:50" x14ac:dyDescent="0.25">
      <c r="A106">
        <v>4.2644547687814983E-2</v>
      </c>
      <c r="B106">
        <v>6.6125647419306516E-2</v>
      </c>
      <c r="C106">
        <v>-1.147513471263409E-2</v>
      </c>
      <c r="D106">
        <v>6.0502016667896619E-2</v>
      </c>
      <c r="E106">
        <v>3.3030947655481237E-2</v>
      </c>
      <c r="F106">
        <v>5.3952849805472179E-2</v>
      </c>
      <c r="G106">
        <v>3.1382086597364717E-2</v>
      </c>
      <c r="H106">
        <v>5.4510253836710298E-3</v>
      </c>
      <c r="I106">
        <v>-3.2233114209203793E-2</v>
      </c>
      <c r="J106">
        <v>9.3956211634319872E-2</v>
      </c>
      <c r="K106">
        <v>7.251346041733947E-2</v>
      </c>
      <c r="L106">
        <v>-9.4240355284937443E-3</v>
      </c>
      <c r="M106">
        <v>7.2166295312996495E-2</v>
      </c>
      <c r="N106">
        <v>8.4749007214600505E-2</v>
      </c>
      <c r="O106">
        <v>0.14276057550940111</v>
      </c>
      <c r="P106">
        <v>8.7432022684691843E-2</v>
      </c>
      <c r="Q106">
        <v>0.14076019079881541</v>
      </c>
      <c r="R106">
        <v>9.5414178170702107E-2</v>
      </c>
      <c r="S106">
        <v>4.1691775901495698E-2</v>
      </c>
      <c r="T106">
        <v>2.842000111835908E-2</v>
      </c>
      <c r="U106">
        <v>5.595144169451377E-2</v>
      </c>
      <c r="V106">
        <v>0.1093899891858255</v>
      </c>
      <c r="W106">
        <v>4.5281595448536729E-2</v>
      </c>
      <c r="X106">
        <v>-2.3681572600560159E-2</v>
      </c>
      <c r="Y106">
        <v>9.5296056207727298E-2</v>
      </c>
      <c r="Z106">
        <v>0.16955908939286321</v>
      </c>
      <c r="AA106">
        <v>9.9037770418515789E-2</v>
      </c>
      <c r="AB106">
        <v>3.969012816805069E-2</v>
      </c>
      <c r="AC106">
        <v>3.5973897096501242E-2</v>
      </c>
      <c r="AD106">
        <v>1.133361998470855E-2</v>
      </c>
      <c r="AE106">
        <v>0.1001355285778559</v>
      </c>
      <c r="AF106">
        <v>2.180446630570175E-2</v>
      </c>
      <c r="AG106">
        <v>8.6560833360749767E-2</v>
      </c>
      <c r="AH106">
        <v>3.5493921653799949E-2</v>
      </c>
      <c r="AI106">
        <v>4.3778138421913658E-2</v>
      </c>
      <c r="AJ106">
        <v>9.5162793831931838E-2</v>
      </c>
      <c r="AK106">
        <v>4.736876145497575E-3</v>
      </c>
      <c r="AL106">
        <v>5.6032416971176453E-2</v>
      </c>
      <c r="AM106">
        <v>7.1293433856305585E-2</v>
      </c>
      <c r="AN106">
        <v>9.956102683054583E-3</v>
      </c>
      <c r="AO106">
        <v>1.074405256446451E-2</v>
      </c>
      <c r="AP106">
        <v>-2.1847274719344601E-2</v>
      </c>
      <c r="AQ106">
        <v>4.3047250869169877E-2</v>
      </c>
      <c r="AR106">
        <v>7.817606841487923E-2</v>
      </c>
      <c r="AS106">
        <v>5.1927342392955718E-2</v>
      </c>
      <c r="AT106">
        <v>2.025719702840369E-2</v>
      </c>
      <c r="AU106">
        <v>9.2021060632683158E-2</v>
      </c>
      <c r="AV106">
        <v>8.2160412534504859E-2</v>
      </c>
      <c r="AW106">
        <v>6.7618682156208698E-2</v>
      </c>
      <c r="AX106">
        <v>1.8300012524966412E-2</v>
      </c>
    </row>
    <row r="107" spans="1:50" x14ac:dyDescent="0.25">
      <c r="A107">
        <v>1.1754874472970351E-2</v>
      </c>
      <c r="B107">
        <v>-0.10539004483312529</v>
      </c>
      <c r="C107">
        <v>0.11417299798315469</v>
      </c>
      <c r="D107">
        <v>0.35149504143810267</v>
      </c>
      <c r="E107">
        <v>9.8195599514384488E-2</v>
      </c>
      <c r="F107">
        <v>2.7569414595126251E-2</v>
      </c>
      <c r="G107">
        <v>-0.1545081042555447</v>
      </c>
      <c r="H107">
        <v>5.8684313680973599E-2</v>
      </c>
      <c r="I107">
        <v>-2.521774655287151E-3</v>
      </c>
      <c r="J107">
        <v>-1.636765882983155E-3</v>
      </c>
      <c r="K107">
        <v>0.10343380577948839</v>
      </c>
      <c r="L107">
        <v>-0.11478623805151759</v>
      </c>
      <c r="M107">
        <v>5.2504349900494296E-3</v>
      </c>
      <c r="N107">
        <v>2.101471619787988E-3</v>
      </c>
      <c r="O107">
        <v>6.7699625793169127E-2</v>
      </c>
      <c r="P107">
        <v>4.1006678514623821E-2</v>
      </c>
      <c r="Q107">
        <v>-8.5801487350138608E-2</v>
      </c>
      <c r="R107">
        <v>8.3931282422284814E-2</v>
      </c>
      <c r="S107">
        <v>-5.6674409729363436E-3</v>
      </c>
      <c r="T107">
        <v>4.1652579826435944E-3</v>
      </c>
      <c r="U107">
        <v>2.973158580604476E-2</v>
      </c>
      <c r="V107">
        <v>-5.0834685241580913E-2</v>
      </c>
      <c r="W107">
        <v>-3.3052969588583662E-2</v>
      </c>
      <c r="X107">
        <v>2.014926168127007E-2</v>
      </c>
      <c r="Y107">
        <v>7.0348070795020756E-2</v>
      </c>
      <c r="Z107">
        <v>-5.1718063482542848E-2</v>
      </c>
      <c r="AA107">
        <v>4.7495209654018038E-2</v>
      </c>
      <c r="AB107">
        <v>-0.13825632356443829</v>
      </c>
      <c r="AC107">
        <v>7.8757313809024142E-3</v>
      </c>
      <c r="AD107">
        <v>-1.7663708351578149E-2</v>
      </c>
      <c r="AE107">
        <v>-4.0613945248481449E-2</v>
      </c>
      <c r="AF107">
        <v>3.8466246674115877E-2</v>
      </c>
      <c r="AG107">
        <v>-1.374687033384134E-2</v>
      </c>
      <c r="AH107">
        <v>-1.3047330054520219E-2</v>
      </c>
      <c r="AI107">
        <v>-0.1035790558521224</v>
      </c>
      <c r="AJ107">
        <v>4.1458417680180441E-3</v>
      </c>
      <c r="AK107">
        <v>-8.2499544344685469E-2</v>
      </c>
      <c r="AL107">
        <v>2.1942194120175399E-2</v>
      </c>
      <c r="AM107">
        <v>3.0687407525583521E-2</v>
      </c>
      <c r="AN107">
        <v>7.1996073895665091E-2</v>
      </c>
      <c r="AO107">
        <v>-4.3355020620259803E-2</v>
      </c>
      <c r="AP107">
        <v>-3.1340396137432579E-2</v>
      </c>
      <c r="AQ107">
        <v>-0.10091332263509339</v>
      </c>
      <c r="AR107">
        <v>7.3213696811178612E-3</v>
      </c>
      <c r="AS107">
        <v>0.1187205197589342</v>
      </c>
      <c r="AT107">
        <v>9.7183418588577247E-3</v>
      </c>
      <c r="AU107">
        <v>0.21659266332922089</v>
      </c>
      <c r="AV107">
        <v>2.9249773379760469E-2</v>
      </c>
      <c r="AW107">
        <v>-1.0573776951943311E-2</v>
      </c>
      <c r="AX107">
        <v>8.177349661103285E-2</v>
      </c>
    </row>
    <row r="108" spans="1:50" x14ac:dyDescent="0.25">
      <c r="A108">
        <v>-0.1838362150383811</v>
      </c>
      <c r="B108">
        <v>-2.3433965750283971E-2</v>
      </c>
      <c r="C108">
        <v>-0.24305122328588649</v>
      </c>
      <c r="D108">
        <v>-0.27540285046880891</v>
      </c>
      <c r="E108">
        <v>-7.7453713906165192E-2</v>
      </c>
      <c r="F108">
        <v>0.16818478226019781</v>
      </c>
      <c r="G108">
        <v>-0.29139884471604011</v>
      </c>
      <c r="H108">
        <v>0.28836461931118018</v>
      </c>
      <c r="I108">
        <v>-0.26023921168009378</v>
      </c>
      <c r="J108">
        <v>-0.32304868277527982</v>
      </c>
      <c r="K108">
        <v>-0.15646110998415169</v>
      </c>
      <c r="L108">
        <v>-0.15357103263526431</v>
      </c>
      <c r="M108">
        <v>-0.39345658913455861</v>
      </c>
      <c r="N108">
        <v>0.25183798945538488</v>
      </c>
      <c r="O108">
        <v>0.24178692151416539</v>
      </c>
      <c r="P108">
        <v>0.39278857517258181</v>
      </c>
      <c r="Q108">
        <v>-0.47361014728139378</v>
      </c>
      <c r="R108">
        <v>-0.37179242746353303</v>
      </c>
      <c r="S108">
        <v>0.51019649590719152</v>
      </c>
      <c r="T108">
        <v>-0.25491295234760042</v>
      </c>
      <c r="U108">
        <v>-0.236605836195731</v>
      </c>
      <c r="V108">
        <v>0.12580855446302361</v>
      </c>
      <c r="W108">
        <v>0.14787993452826809</v>
      </c>
      <c r="X108">
        <v>-0.12722130828467201</v>
      </c>
      <c r="Y108">
        <v>0.38594616205948767</v>
      </c>
      <c r="Z108">
        <v>0.19746006765287191</v>
      </c>
      <c r="AA108">
        <v>0.51367578781036372</v>
      </c>
      <c r="AB108">
        <v>-0.1368659977312488</v>
      </c>
      <c r="AC108">
        <v>1.812292971029263E-2</v>
      </c>
      <c r="AD108">
        <v>-0.47495684682504258</v>
      </c>
      <c r="AE108">
        <v>-9.3428797124549878E-2</v>
      </c>
      <c r="AF108">
        <v>0.67805603348223265</v>
      </c>
      <c r="AG108">
        <v>0.41791480011037307</v>
      </c>
      <c r="AH108">
        <v>-0.35843219716172742</v>
      </c>
      <c r="AI108">
        <v>-0.2062274818188454</v>
      </c>
      <c r="AJ108">
        <v>3.684153246371058E-2</v>
      </c>
      <c r="AK108">
        <v>0.18357320628333701</v>
      </c>
      <c r="AL108">
        <v>0.64646696789204361</v>
      </c>
      <c r="AM108">
        <v>0.380691886114708</v>
      </c>
      <c r="AN108">
        <v>1.6842016104783229E-2</v>
      </c>
      <c r="AO108">
        <v>0.31512853832823889</v>
      </c>
      <c r="AP108">
        <v>5.4842979205530128E-2</v>
      </c>
      <c r="AQ108">
        <v>9.393764739830221E-2</v>
      </c>
      <c r="AR108">
        <v>0.66615947948182852</v>
      </c>
      <c r="AS108">
        <v>-0.33415063822695901</v>
      </c>
      <c r="AT108">
        <v>0.26910976836275208</v>
      </c>
      <c r="AU108">
        <v>-0.60037987479971611</v>
      </c>
      <c r="AV108">
        <v>0.1186991816149429</v>
      </c>
      <c r="AW108">
        <v>-0.1001904354942751</v>
      </c>
      <c r="AX108">
        <v>0.42297823357852687</v>
      </c>
    </row>
    <row r="109" spans="1:50" x14ac:dyDescent="0.25">
      <c r="A109">
        <v>-0.1190801227100316</v>
      </c>
      <c r="B109">
        <v>-7.5621306101526804E-3</v>
      </c>
      <c r="C109">
        <v>0.35918699387066122</v>
      </c>
      <c r="D109">
        <v>0.2247046325796502</v>
      </c>
      <c r="E109">
        <v>-0.2841383338846023</v>
      </c>
      <c r="F109">
        <v>-0.14637201201969791</v>
      </c>
      <c r="G109">
        <v>-8.3750218731277207E-2</v>
      </c>
      <c r="H109">
        <v>-0.39892939637584268</v>
      </c>
      <c r="I109">
        <v>-0.24327833916610109</v>
      </c>
      <c r="J109">
        <v>2.3119093860665432E-2</v>
      </c>
      <c r="K109">
        <v>0.18597038994778509</v>
      </c>
      <c r="L109">
        <v>0.16897433594741459</v>
      </c>
      <c r="M109">
        <v>0.50406723878800963</v>
      </c>
      <c r="N109">
        <v>0.4515569656007874</v>
      </c>
      <c r="O109">
        <v>-0.14903498561357409</v>
      </c>
      <c r="P109">
        <v>-0.17547081580318041</v>
      </c>
      <c r="Q109">
        <v>0.45427712029228068</v>
      </c>
      <c r="R109">
        <v>0.32274059620547862</v>
      </c>
      <c r="S109">
        <v>0.19159982517178581</v>
      </c>
      <c r="T109">
        <v>5.5043923818001619E-2</v>
      </c>
      <c r="U109">
        <v>-3.8716016531769752E-2</v>
      </c>
      <c r="V109">
        <v>-7.3954064830124205E-2</v>
      </c>
      <c r="W109">
        <v>-0.20434038502457391</v>
      </c>
      <c r="X109">
        <v>0.1243765453502557</v>
      </c>
      <c r="Y109">
        <v>0.15383745938525351</v>
      </c>
      <c r="Z109">
        <v>0.1422055242869551</v>
      </c>
      <c r="AA109">
        <v>-3.7117520562318013E-2</v>
      </c>
      <c r="AB109">
        <v>-3.6903224852483867E-2</v>
      </c>
      <c r="AC109">
        <v>-1.224664059573694E-2</v>
      </c>
      <c r="AD109">
        <v>9.9467274864067867E-2</v>
      </c>
      <c r="AE109">
        <v>-2.3157838261388751E-2</v>
      </c>
      <c r="AF109">
        <v>-0.54193343059279475</v>
      </c>
      <c r="AG109">
        <v>0.14688446111324141</v>
      </c>
      <c r="AH109">
        <v>-0.10019998462900311</v>
      </c>
      <c r="AI109">
        <v>5.8602249761935052E-2</v>
      </c>
      <c r="AJ109">
        <v>-0.37106990574577198</v>
      </c>
      <c r="AK109">
        <v>8.5151259910683133E-2</v>
      </c>
      <c r="AL109">
        <v>0.25813230017250738</v>
      </c>
      <c r="AM109">
        <v>-8.9431800060330455E-2</v>
      </c>
      <c r="AN109">
        <v>0.37908394127461642</v>
      </c>
      <c r="AO109">
        <v>-0.1104149044209911</v>
      </c>
      <c r="AP109">
        <v>0.10176878211471541</v>
      </c>
      <c r="AQ109">
        <v>-0.31003005125704058</v>
      </c>
      <c r="AR109">
        <v>5.1731067587248498E-2</v>
      </c>
      <c r="AS109">
        <v>-0.19824259289589169</v>
      </c>
      <c r="AT109">
        <v>-0.24049122828965261</v>
      </c>
      <c r="AU109">
        <v>-0.24678045575896479</v>
      </c>
      <c r="AV109">
        <v>0.47016540500387799</v>
      </c>
      <c r="AW109">
        <v>0.16446082912292651</v>
      </c>
      <c r="AX109">
        <v>3.1025853265250349E-2</v>
      </c>
    </row>
    <row r="110" spans="1:50" x14ac:dyDescent="0.25">
      <c r="A110">
        <v>6.4128096706424545E-4</v>
      </c>
      <c r="B110">
        <v>3.2150147800891662E-2</v>
      </c>
      <c r="C110">
        <v>-1.485999053014923E-2</v>
      </c>
      <c r="D110">
        <v>1.4206601573296141E-2</v>
      </c>
      <c r="E110">
        <v>1.015938318226548E-2</v>
      </c>
      <c r="F110">
        <v>2.0760718756766071E-2</v>
      </c>
      <c r="G110">
        <v>1.3696651438572009E-2</v>
      </c>
      <c r="H110">
        <v>-2.2135418163717079E-3</v>
      </c>
      <c r="I110">
        <v>5.6917871457461541E-3</v>
      </c>
      <c r="J110">
        <v>1.231679202759442E-2</v>
      </c>
      <c r="K110">
        <v>2.322988937138842E-2</v>
      </c>
      <c r="L110">
        <v>-1.4658332524621859E-2</v>
      </c>
      <c r="M110">
        <v>1.4824370262057331E-2</v>
      </c>
      <c r="N110">
        <v>2.1326134112664701E-2</v>
      </c>
      <c r="O110">
        <v>5.9664011570124881E-2</v>
      </c>
      <c r="P110">
        <v>1.1250607140790739E-2</v>
      </c>
      <c r="Q110">
        <v>4.4691743368331503E-2</v>
      </c>
      <c r="R110">
        <v>3.41595113038324E-2</v>
      </c>
      <c r="S110">
        <v>1.229775352213586E-2</v>
      </c>
      <c r="T110">
        <v>9.2329611992732381E-3</v>
      </c>
      <c r="U110">
        <v>2.1268307926063611E-2</v>
      </c>
      <c r="V110">
        <v>1.5862094767552539E-2</v>
      </c>
      <c r="W110">
        <v>3.400774514437209E-2</v>
      </c>
      <c r="X110">
        <v>-1.7548635631342579E-4</v>
      </c>
      <c r="Y110">
        <v>2.3443159781043211E-2</v>
      </c>
      <c r="Z110">
        <v>1.7222291924617661E-2</v>
      </c>
      <c r="AA110">
        <v>2.9807787056726719E-2</v>
      </c>
      <c r="AB110">
        <v>1.6642376378186739E-2</v>
      </c>
      <c r="AC110">
        <v>5.7011200016867042E-3</v>
      </c>
      <c r="AD110">
        <v>-1.9145784249411839E-3</v>
      </c>
      <c r="AE110">
        <v>2.8875424213558411E-2</v>
      </c>
      <c r="AF110">
        <v>1.225085276026092E-2</v>
      </c>
      <c r="AG110">
        <v>2.3352573633684461E-2</v>
      </c>
      <c r="AH110">
        <v>7.8257771312205647E-3</v>
      </c>
      <c r="AI110">
        <v>3.563946084136304E-3</v>
      </c>
      <c r="AJ110">
        <v>3.3411424445453669E-2</v>
      </c>
      <c r="AK110">
        <v>-1.1193162672039601E-2</v>
      </c>
      <c r="AL110">
        <v>1.5110568865598721E-2</v>
      </c>
      <c r="AM110">
        <v>2.521079318394626E-2</v>
      </c>
      <c r="AN110">
        <v>8.223914061722664E-3</v>
      </c>
      <c r="AO110">
        <v>-1.8038068328096041E-3</v>
      </c>
      <c r="AP110">
        <v>-2.355773233808418E-2</v>
      </c>
      <c r="AQ110">
        <v>1.7591033367696539E-2</v>
      </c>
      <c r="AR110">
        <v>2.568942427234604E-2</v>
      </c>
      <c r="AS110">
        <v>2.4753990603571231E-2</v>
      </c>
      <c r="AT110">
        <v>1.329340067098205E-2</v>
      </c>
      <c r="AU110">
        <v>4.1746386282087003E-2</v>
      </c>
      <c r="AV110">
        <v>2.931373399059984E-2</v>
      </c>
      <c r="AW110">
        <v>2.4152479317471161E-2</v>
      </c>
      <c r="AX110">
        <v>1.582451776144754E-2</v>
      </c>
    </row>
    <row r="111" spans="1:50" x14ac:dyDescent="0.25">
      <c r="A111">
        <v>-0.1024423565265353</v>
      </c>
      <c r="B111">
        <v>-0.37579151483860962</v>
      </c>
      <c r="C111">
        <v>-0.28008329625193829</v>
      </c>
      <c r="D111">
        <v>7.4075552076155099E-2</v>
      </c>
      <c r="E111">
        <v>-0.43692655906738631</v>
      </c>
      <c r="F111">
        <v>0.36807464548693491</v>
      </c>
      <c r="G111">
        <v>0.32744477436397329</v>
      </c>
      <c r="H111">
        <v>0.41392449603280002</v>
      </c>
      <c r="I111">
        <v>0.37869441291855138</v>
      </c>
      <c r="J111">
        <v>4.8345774547828853E-2</v>
      </c>
      <c r="K111">
        <v>-0.15962783626477031</v>
      </c>
      <c r="L111">
        <v>2.0147800381440699E-2</v>
      </c>
      <c r="M111">
        <v>0.45574351304463728</v>
      </c>
      <c r="N111">
        <v>-9.7425546291787388E-2</v>
      </c>
      <c r="O111">
        <v>-0.21399151393485991</v>
      </c>
      <c r="P111">
        <v>0.1072894463590411</v>
      </c>
      <c r="Q111">
        <v>0.1930541586919636</v>
      </c>
      <c r="R111">
        <v>0.44662554969598173</v>
      </c>
      <c r="S111">
        <v>0.37909494860077531</v>
      </c>
      <c r="T111">
        <v>0.17584447185305541</v>
      </c>
      <c r="U111">
        <v>0.1457017348434822</v>
      </c>
      <c r="V111">
        <v>1.35401389384143E-2</v>
      </c>
      <c r="W111">
        <v>-0.29813926991988382</v>
      </c>
      <c r="X111">
        <v>-0.34229017724203381</v>
      </c>
      <c r="Y111">
        <v>0.19945893090282271</v>
      </c>
      <c r="Z111">
        <v>0.31034480021345051</v>
      </c>
      <c r="AA111">
        <v>0.51182855275163119</v>
      </c>
      <c r="AB111">
        <v>0.23153359511202129</v>
      </c>
      <c r="AC111">
        <v>0.27988150734731548</v>
      </c>
      <c r="AD111">
        <v>-0.4299908705631289</v>
      </c>
      <c r="AE111">
        <v>0.64612211446173395</v>
      </c>
      <c r="AF111">
        <v>0.49669127640581068</v>
      </c>
      <c r="AG111">
        <v>0.24830447099855019</v>
      </c>
      <c r="AH111">
        <v>0.1514715056225531</v>
      </c>
      <c r="AI111">
        <v>0.27482583850821901</v>
      </c>
      <c r="AJ111">
        <v>0.18000596354625931</v>
      </c>
      <c r="AK111">
        <v>0.14366647096825461</v>
      </c>
      <c r="AL111">
        <v>0.15155068332851609</v>
      </c>
      <c r="AM111">
        <v>0.10174926813685541</v>
      </c>
      <c r="AN111">
        <v>-5.0189160586071563E-2</v>
      </c>
      <c r="AO111">
        <v>0.1852366744966116</v>
      </c>
      <c r="AP111">
        <v>-0.35467607436969339</v>
      </c>
      <c r="AQ111">
        <v>0.18066397535895909</v>
      </c>
      <c r="AR111">
        <v>0.18477542606626809</v>
      </c>
      <c r="AS111">
        <v>-0.16015644452637429</v>
      </c>
      <c r="AT111">
        <v>-0.11445985134182519</v>
      </c>
      <c r="AU111">
        <v>0.10150396810647699</v>
      </c>
      <c r="AV111">
        <v>0.11379114415925699</v>
      </c>
      <c r="AW111">
        <v>-0.27619739724982212</v>
      </c>
      <c r="AX111">
        <v>-0.14686211012304351</v>
      </c>
    </row>
    <row r="112" spans="1:50" x14ac:dyDescent="0.25">
      <c r="A112">
        <v>-9.0578765987012713E-2</v>
      </c>
      <c r="B112">
        <v>-8.699580229916723E-2</v>
      </c>
      <c r="C112">
        <v>1.035032738754897E-2</v>
      </c>
      <c r="D112">
        <v>-0.10610774322048989</v>
      </c>
      <c r="E112">
        <v>0.18354034256281351</v>
      </c>
      <c r="F112">
        <v>-0.1197743025674403</v>
      </c>
      <c r="G112">
        <v>-0.12630523800884799</v>
      </c>
      <c r="H112">
        <v>-0.15368658929081469</v>
      </c>
      <c r="I112">
        <v>7.4816390915516728E-2</v>
      </c>
      <c r="J112">
        <v>-0.17711181519986899</v>
      </c>
      <c r="K112">
        <v>-4.0725142267970971E-2</v>
      </c>
      <c r="L112">
        <v>0.10455957634580321</v>
      </c>
      <c r="M112">
        <v>-3.8459009269451679E-2</v>
      </c>
      <c r="N112">
        <v>4.0536743114428238E-2</v>
      </c>
      <c r="O112">
        <v>0.1963075274389581</v>
      </c>
      <c r="P112">
        <v>5.6521732057655018E-2</v>
      </c>
      <c r="Q112">
        <v>-1.754689434898592E-2</v>
      </c>
      <c r="R112">
        <v>0.1929055208574719</v>
      </c>
      <c r="S112">
        <v>-5.1450758590227651E-2</v>
      </c>
      <c r="T112">
        <v>0.1463152493441347</v>
      </c>
      <c r="U112">
        <v>7.0820264315018963E-2</v>
      </c>
      <c r="V112">
        <v>2.9132452271846049E-2</v>
      </c>
      <c r="W112">
        <v>0.1515839657657316</v>
      </c>
      <c r="X112">
        <v>-8.3537500490653963E-2</v>
      </c>
      <c r="Y112">
        <v>-9.1364351751736881E-3</v>
      </c>
      <c r="Z112">
        <v>-1.9461452131825561E-2</v>
      </c>
      <c r="AA112">
        <v>4.8486362657636152E-2</v>
      </c>
      <c r="AB112">
        <v>1.294198089075253E-2</v>
      </c>
      <c r="AC112">
        <v>7.3443916489679753E-2</v>
      </c>
      <c r="AD112">
        <v>0.21414498281698291</v>
      </c>
      <c r="AE112">
        <v>-4.8640630646061903E-2</v>
      </c>
      <c r="AF112">
        <v>3.1657950762515812E-2</v>
      </c>
      <c r="AG112">
        <v>-9.8730785474391541E-2</v>
      </c>
      <c r="AH112">
        <v>0.15053224331152609</v>
      </c>
      <c r="AI112">
        <v>0.14982725634154601</v>
      </c>
      <c r="AJ112">
        <v>-0.10371491020785981</v>
      </c>
      <c r="AK112">
        <v>0.1118675751073091</v>
      </c>
      <c r="AL112">
        <v>2.3107489553571441E-2</v>
      </c>
      <c r="AM112">
        <v>-5.4996629888287622E-2</v>
      </c>
      <c r="AN112">
        <v>-3.2646604302863258E-2</v>
      </c>
      <c r="AO112">
        <v>-5.6264140836785603E-2</v>
      </c>
      <c r="AP112">
        <v>-1.0591026879823551E-2</v>
      </c>
      <c r="AQ112">
        <v>-4.5070253947577597E-2</v>
      </c>
      <c r="AR112">
        <v>1.5765165918795159E-2</v>
      </c>
      <c r="AS112">
        <v>0.16359155155468441</v>
      </c>
      <c r="AT112">
        <v>-1.1377011977586509E-2</v>
      </c>
      <c r="AU112">
        <v>-4.6162609458326412E-2</v>
      </c>
      <c r="AV112">
        <v>-9.8044346985797382E-3</v>
      </c>
      <c r="AW112">
        <v>-4.174108835606774E-2</v>
      </c>
      <c r="AX112">
        <v>-9.1360925642349822E-2</v>
      </c>
    </row>
    <row r="113" spans="1:50" x14ac:dyDescent="0.25">
      <c r="A113">
        <v>-0.33280556078049761</v>
      </c>
      <c r="B113">
        <v>-0.17879098601306639</v>
      </c>
      <c r="C113">
        <v>-0.11825450847542569</v>
      </c>
      <c r="D113">
        <v>-8.8974350623642326E-2</v>
      </c>
      <c r="E113">
        <v>5.7346772611166809E-2</v>
      </c>
      <c r="F113">
        <v>0.21288521382240691</v>
      </c>
      <c r="G113">
        <v>0.19848684681841169</v>
      </c>
      <c r="H113">
        <v>0.17550240524381391</v>
      </c>
      <c r="I113">
        <v>-0.15842634242577919</v>
      </c>
      <c r="J113">
        <v>5.2756299052237957E-2</v>
      </c>
      <c r="K113">
        <v>-9.891352932164546E-2</v>
      </c>
      <c r="L113">
        <v>0.28365030641733252</v>
      </c>
      <c r="M113">
        <v>-0.13690089143504761</v>
      </c>
      <c r="N113">
        <v>-0.1870445776004907</v>
      </c>
      <c r="O113">
        <v>-0.29610046924024419</v>
      </c>
      <c r="P113">
        <v>0.1196028576259562</v>
      </c>
      <c r="Q113">
        <v>8.2469531824100564E-2</v>
      </c>
      <c r="R113">
        <v>0.14741294384335249</v>
      </c>
      <c r="S113">
        <v>0.41012286196604852</v>
      </c>
      <c r="T113">
        <v>0.2642929684156648</v>
      </c>
      <c r="U113">
        <v>-6.5609793211892795E-2</v>
      </c>
      <c r="V113">
        <v>-0.23885324459110249</v>
      </c>
      <c r="W113">
        <v>-0.17791871432614481</v>
      </c>
      <c r="X113">
        <v>0.59950980805483933</v>
      </c>
      <c r="Y113">
        <v>1.166046374577953E-2</v>
      </c>
      <c r="Z113">
        <v>5.7399818524917268E-2</v>
      </c>
      <c r="AA113">
        <v>0.18438193817110871</v>
      </c>
      <c r="AB113">
        <v>-7.1008304163873576E-2</v>
      </c>
      <c r="AC113">
        <v>-2.3578381906317478E-2</v>
      </c>
      <c r="AD113">
        <v>-0.25555933388876673</v>
      </c>
      <c r="AE113">
        <v>0.35526045540599083</v>
      </c>
      <c r="AF113">
        <v>-0.13883570123205571</v>
      </c>
      <c r="AG113">
        <v>6.6897989895517318E-2</v>
      </c>
      <c r="AH113">
        <v>0.30871974582510131</v>
      </c>
      <c r="AI113">
        <v>-0.20940031491892841</v>
      </c>
      <c r="AJ113">
        <v>-0.13103552391168799</v>
      </c>
      <c r="AK113">
        <v>0.38008486902793542</v>
      </c>
      <c r="AL113">
        <v>0.41940707476790923</v>
      </c>
      <c r="AM113">
        <v>3.059290216162816E-2</v>
      </c>
      <c r="AN113">
        <v>-0.18785539244769661</v>
      </c>
      <c r="AO113">
        <v>0.41491753567664702</v>
      </c>
      <c r="AP113">
        <v>0.16079588947966031</v>
      </c>
      <c r="AQ113">
        <v>-0.1096577761313534</v>
      </c>
      <c r="AR113">
        <v>4.2004684443104977E-2</v>
      </c>
      <c r="AS113">
        <v>-0.14621092534741351</v>
      </c>
      <c r="AT113">
        <v>0.25406892670689379</v>
      </c>
      <c r="AU113">
        <v>7.433896101142913E-2</v>
      </c>
      <c r="AV113">
        <v>0.40323674985883129</v>
      </c>
      <c r="AW113">
        <v>0.113094839936102</v>
      </c>
      <c r="AX113">
        <v>0.24731485021872229</v>
      </c>
    </row>
    <row r="114" spans="1:50" x14ac:dyDescent="0.25">
      <c r="A114">
        <v>3.7076523609261169E-2</v>
      </c>
      <c r="B114">
        <v>-3.4592834700018317E-2</v>
      </c>
      <c r="C114">
        <v>0.195209166619535</v>
      </c>
      <c r="D114">
        <v>2.9458596636249099E-2</v>
      </c>
      <c r="E114">
        <v>5.6445558330612882E-3</v>
      </c>
      <c r="F114">
        <v>0.19936194770049451</v>
      </c>
      <c r="G114">
        <v>-0.1095052844591429</v>
      </c>
      <c r="H114">
        <v>-6.3882070689956494E-2</v>
      </c>
      <c r="I114">
        <v>-9.3233443369859156E-2</v>
      </c>
      <c r="J114">
        <v>0.20363455253973439</v>
      </c>
      <c r="K114">
        <v>7.75565873672244E-2</v>
      </c>
      <c r="L114">
        <v>-7.591187743460224E-3</v>
      </c>
      <c r="M114">
        <v>0.1108511050112974</v>
      </c>
      <c r="N114">
        <v>2.389273663107342E-2</v>
      </c>
      <c r="O114">
        <v>0.16228357467901719</v>
      </c>
      <c r="P114">
        <v>6.6708567585709699E-2</v>
      </c>
      <c r="Q114">
        <v>-3.2539544368670993E-2</v>
      </c>
      <c r="R114">
        <v>8.1844939914834561E-2</v>
      </c>
      <c r="S114">
        <v>-1.6080966563399361E-2</v>
      </c>
      <c r="T114">
        <v>0.18942558427834361</v>
      </c>
      <c r="U114">
        <v>-6.1050959471383781E-2</v>
      </c>
      <c r="V114">
        <v>-5.5925827411953767E-2</v>
      </c>
      <c r="W114">
        <v>0.1948182237439339</v>
      </c>
      <c r="X114">
        <v>0.1608486592688021</v>
      </c>
      <c r="Y114">
        <v>6.195598918454167E-3</v>
      </c>
      <c r="Z114">
        <v>-2.4406951752649789E-2</v>
      </c>
      <c r="AA114">
        <v>2.0081459812393499E-2</v>
      </c>
      <c r="AB114">
        <v>-3.642002407868139E-2</v>
      </c>
      <c r="AC114">
        <v>0.18213832283561329</v>
      </c>
      <c r="AD114">
        <v>-0.1048421631001332</v>
      </c>
      <c r="AE114">
        <v>-1.8580851397623652E-2</v>
      </c>
      <c r="AF114">
        <v>2.5874500861422851E-2</v>
      </c>
      <c r="AG114">
        <v>2.6519913801617081E-2</v>
      </c>
      <c r="AH114">
        <v>-0.13312818233859949</v>
      </c>
      <c r="AI114">
        <v>4.3050042372866519E-2</v>
      </c>
      <c r="AJ114">
        <v>0.22100368543921151</v>
      </c>
      <c r="AK114">
        <v>-3.8998146425523988E-2</v>
      </c>
      <c r="AL114">
        <v>3.5483356343420328E-2</v>
      </c>
      <c r="AM114">
        <v>-9.2620808385859912E-2</v>
      </c>
      <c r="AN114">
        <v>-1.525115803145341E-2</v>
      </c>
      <c r="AO114">
        <v>-0.1094813238881882</v>
      </c>
      <c r="AP114">
        <v>0.26287904521698913</v>
      </c>
      <c r="AQ114">
        <v>2.2954258074018949E-2</v>
      </c>
      <c r="AR114">
        <v>-6.7849529102539455E-2</v>
      </c>
      <c r="AS114">
        <v>-1.860029778520883E-2</v>
      </c>
      <c r="AT114">
        <v>-2.830161222616159E-2</v>
      </c>
      <c r="AU114">
        <v>0.1911836971542506</v>
      </c>
      <c r="AV114">
        <v>-2.570901672405267E-2</v>
      </c>
      <c r="AW114">
        <v>0.20339738833058049</v>
      </c>
      <c r="AX114">
        <v>-0.15844837056673039</v>
      </c>
    </row>
    <row r="115" spans="1:50" x14ac:dyDescent="0.25">
      <c r="A115">
        <v>-8.4199876364966786E-3</v>
      </c>
      <c r="B115">
        <v>-0.14155618050523741</v>
      </c>
      <c r="C115">
        <v>-9.1791405009819901E-2</v>
      </c>
      <c r="D115">
        <v>6.597970686552232E-2</v>
      </c>
      <c r="E115">
        <v>-0.30210610682667349</v>
      </c>
      <c r="F115">
        <v>0.1117508997201888</v>
      </c>
      <c r="G115">
        <v>0.52024435508817923</v>
      </c>
      <c r="H115">
        <v>0.2311768499654874</v>
      </c>
      <c r="I115">
        <v>1.9849019978436071E-3</v>
      </c>
      <c r="J115">
        <v>0.13142071409917441</v>
      </c>
      <c r="K115">
        <v>-0.1662244521692883</v>
      </c>
      <c r="L115">
        <v>0.41760494998542769</v>
      </c>
      <c r="M115">
        <v>-2.7927747594037131E-3</v>
      </c>
      <c r="N115">
        <v>0.1223591344441559</v>
      </c>
      <c r="O115">
        <v>-4.9041486590511302E-2</v>
      </c>
      <c r="P115">
        <v>0.36650333734412471</v>
      </c>
      <c r="Q115">
        <v>-0.36339659062234941</v>
      </c>
      <c r="R115">
        <v>0.30626391177492451</v>
      </c>
      <c r="S115">
        <v>4.5166536575420267E-2</v>
      </c>
      <c r="T115">
        <v>-0.2250244218610235</v>
      </c>
      <c r="U115">
        <v>-2.6400205492956519E-2</v>
      </c>
      <c r="V115">
        <v>-0.1442639120289575</v>
      </c>
      <c r="W115">
        <v>3.2401313626697341E-2</v>
      </c>
      <c r="X115">
        <v>-0.13876944034511429</v>
      </c>
      <c r="Y115">
        <v>-0.18965212347456181</v>
      </c>
      <c r="Z115">
        <v>8.6603527774519878E-2</v>
      </c>
      <c r="AA115">
        <v>0.32750603334702749</v>
      </c>
      <c r="AB115">
        <v>-3.0290458175800429E-3</v>
      </c>
      <c r="AC115">
        <v>-0.29265414616448432</v>
      </c>
      <c r="AD115">
        <v>-1.482076427524533E-2</v>
      </c>
      <c r="AE115">
        <v>0.2498812935180143</v>
      </c>
      <c r="AF115">
        <v>-0.12084385609587441</v>
      </c>
      <c r="AG115">
        <v>0.33887773622853729</v>
      </c>
      <c r="AH115">
        <v>-7.9747572091458899E-2</v>
      </c>
      <c r="AI115">
        <v>-5.3929377607272129E-2</v>
      </c>
      <c r="AJ115">
        <v>-0.19951124039203311</v>
      </c>
      <c r="AK115">
        <v>-4.0099506203533667E-3</v>
      </c>
      <c r="AL115">
        <v>0.18116636291367619</v>
      </c>
      <c r="AM115">
        <v>1.1598338615428231E-2</v>
      </c>
      <c r="AN115">
        <v>-1.35178270050246E-3</v>
      </c>
      <c r="AO115">
        <v>7.4302651910779199E-2</v>
      </c>
      <c r="AP115">
        <v>-0.2076306328184743</v>
      </c>
      <c r="AQ115">
        <v>0.28626282194738562</v>
      </c>
      <c r="AR115">
        <v>0.31203063571417039</v>
      </c>
      <c r="AS115">
        <v>-0.34644036143386808</v>
      </c>
      <c r="AT115">
        <v>0.62780458343454359</v>
      </c>
      <c r="AU115">
        <v>0.19070181236345651</v>
      </c>
      <c r="AV115">
        <v>0.25532129315227409</v>
      </c>
      <c r="AW115">
        <v>0.2776408191776833</v>
      </c>
      <c r="AX115">
        <v>0.17011518011880941</v>
      </c>
    </row>
    <row r="116" spans="1:50" x14ac:dyDescent="0.25">
      <c r="A116">
        <v>-0.16063190062786409</v>
      </c>
      <c r="B116">
        <v>4.6515674508964919E-2</v>
      </c>
      <c r="C116">
        <v>-0.26329721463540579</v>
      </c>
      <c r="D116">
        <v>0.32688792000303862</v>
      </c>
      <c r="E116">
        <v>-0.16525272861503351</v>
      </c>
      <c r="F116">
        <v>-7.6437787184862493E-2</v>
      </c>
      <c r="G116">
        <v>-0.1240804707129842</v>
      </c>
      <c r="H116">
        <v>0.17442753023094881</v>
      </c>
      <c r="I116">
        <v>0.19907052259756219</v>
      </c>
      <c r="J116">
        <v>-0.16074979509101989</v>
      </c>
      <c r="K116">
        <v>9.0743167130965766E-2</v>
      </c>
      <c r="L116">
        <v>0.1898598689341866</v>
      </c>
      <c r="M116">
        <v>6.8616132123952372E-2</v>
      </c>
      <c r="N116">
        <v>-0.17775557022713451</v>
      </c>
      <c r="O116">
        <v>0.29025570536644418</v>
      </c>
      <c r="P116">
        <v>-2.3673368500598511E-2</v>
      </c>
      <c r="Q116">
        <v>0.15031330690555419</v>
      </c>
      <c r="R116">
        <v>-0.17967385947169751</v>
      </c>
      <c r="S116">
        <v>0.21645286188109139</v>
      </c>
      <c r="T116">
        <v>-5.0920569103464902E-2</v>
      </c>
      <c r="U116">
        <v>0.19467247793286799</v>
      </c>
      <c r="V116">
        <v>-2.0542688657034319E-2</v>
      </c>
      <c r="W116">
        <v>-0.2244369608450536</v>
      </c>
      <c r="X116">
        <v>0.26555627766142659</v>
      </c>
      <c r="Y116">
        <v>0.19178053938508191</v>
      </c>
      <c r="Z116">
        <v>-0.25099052376519931</v>
      </c>
      <c r="AA116">
        <v>0.15196372691477841</v>
      </c>
      <c r="AB116">
        <v>-6.0241941719390138E-2</v>
      </c>
      <c r="AC116">
        <v>0.2045056273764557</v>
      </c>
      <c r="AD116">
        <v>3.5352511856383793E-2</v>
      </c>
      <c r="AE116">
        <v>4.9419142242431782E-2</v>
      </c>
      <c r="AF116">
        <v>0.16482968047575991</v>
      </c>
      <c r="AG116">
        <v>-6.1950594499055607E-2</v>
      </c>
      <c r="AH116">
        <v>-4.2230123122587823E-2</v>
      </c>
      <c r="AI116">
        <v>-8.9575893006246063E-2</v>
      </c>
      <c r="AJ116">
        <v>-0.17936869456915591</v>
      </c>
      <c r="AK116">
        <v>-3.1471219363613398E-2</v>
      </c>
      <c r="AL116">
        <v>-0.18968115092862209</v>
      </c>
      <c r="AM116">
        <v>1.334104844236895E-2</v>
      </c>
      <c r="AN116">
        <v>0.1235243990423385</v>
      </c>
      <c r="AO116">
        <v>7.5522074852447801E-2</v>
      </c>
      <c r="AP116">
        <v>-1.409419135851599E-2</v>
      </c>
      <c r="AQ116">
        <v>-0.23760232073937509</v>
      </c>
      <c r="AR116">
        <v>-0.17846107996563029</v>
      </c>
      <c r="AS116">
        <v>0.1928256529959648</v>
      </c>
      <c r="AT116">
        <v>4.3060318772754201E-2</v>
      </c>
      <c r="AU116">
        <v>-7.1693581268369777E-2</v>
      </c>
      <c r="AV116">
        <v>0.43824191238835458</v>
      </c>
      <c r="AW116">
        <v>-3.3144289810658888E-2</v>
      </c>
      <c r="AX116">
        <v>-8.9580763707761732E-2</v>
      </c>
    </row>
    <row r="117" spans="1:50" x14ac:dyDescent="0.25">
      <c r="A117">
        <v>-6.3721109458795728E-265</v>
      </c>
      <c r="B117">
        <v>1.880805521397972E-264</v>
      </c>
      <c r="C117">
        <v>-3.3159274363337331E-261</v>
      </c>
      <c r="D117">
        <v>7.1922759180249492E-261</v>
      </c>
      <c r="E117">
        <v>1.8361795462325429E-256</v>
      </c>
      <c r="F117">
        <v>-4.0579933243928192E-267</v>
      </c>
      <c r="G117">
        <v>-3.8552709202260288E-261</v>
      </c>
      <c r="H117">
        <v>-5.0748988066448647E-263</v>
      </c>
      <c r="I117">
        <v>-5.4024221262343407E-260</v>
      </c>
      <c r="J117">
        <v>3.0516596377906991E-259</v>
      </c>
      <c r="K117">
        <v>1.0962966652739099E-264</v>
      </c>
      <c r="L117">
        <v>1.3324072985497869E-266</v>
      </c>
      <c r="M117">
        <v>6.7623338070803252E-262</v>
      </c>
      <c r="N117">
        <v>7.6269336901873674E-261</v>
      </c>
      <c r="O117">
        <v>1.8091681509450221E-263</v>
      </c>
      <c r="P117">
        <v>1.0701110376722861E-264</v>
      </c>
      <c r="Q117">
        <v>-3.5739768701460101E-263</v>
      </c>
      <c r="R117">
        <v>1.3555250149190139E-260</v>
      </c>
      <c r="S117">
        <v>6.5387149878073518E-264</v>
      </c>
      <c r="T117">
        <v>-5.9903981651652958E-267</v>
      </c>
      <c r="U117">
        <v>-6.015548809388177E-263</v>
      </c>
      <c r="V117">
        <v>-1.5137998098043101E-261</v>
      </c>
      <c r="W117">
        <v>-3.8977362788968927E-265</v>
      </c>
      <c r="X117">
        <v>-6.411085237303246E-262</v>
      </c>
      <c r="Y117">
        <v>2.4130412753731081E-262</v>
      </c>
      <c r="Z117">
        <v>9.043668869689986E-257</v>
      </c>
      <c r="AA117">
        <v>5.1177798025568321E-257</v>
      </c>
      <c r="AB117">
        <v>-7.711636496733508E-263</v>
      </c>
      <c r="AC117">
        <v>1.1890583122471111E-255</v>
      </c>
      <c r="AD117">
        <v>-2.1369448782867589E-262</v>
      </c>
      <c r="AE117">
        <v>9.3676335487498016E-264</v>
      </c>
      <c r="AF117">
        <v>-7.5607962876326396E-262</v>
      </c>
      <c r="AG117">
        <v>6.2064827815046303E-261</v>
      </c>
      <c r="AH117">
        <v>8.4041606279909573E-259</v>
      </c>
      <c r="AI117">
        <v>3.7573247048166797E-265</v>
      </c>
      <c r="AJ117">
        <v>-1.0434580237993251E-258</v>
      </c>
      <c r="AK117">
        <v>4.2876913470457112E-265</v>
      </c>
      <c r="AL117">
        <v>-2.8438793830902212E-259</v>
      </c>
      <c r="AM117">
        <v>3.321928338303922E-258</v>
      </c>
      <c r="AN117">
        <v>1.3192780572857681E-261</v>
      </c>
      <c r="AO117">
        <v>1.1088262445339071E-258</v>
      </c>
      <c r="AP117">
        <v>3.8628185924900069E-263</v>
      </c>
      <c r="AQ117">
        <v>3.8421927739054552E-263</v>
      </c>
      <c r="AR117">
        <v>-3.8327660444577118E-264</v>
      </c>
      <c r="AS117">
        <v>6.3056520886315343E-264</v>
      </c>
      <c r="AT117">
        <v>-5.7722346794686651E-266</v>
      </c>
      <c r="AU117">
        <v>1.59553539028905E-261</v>
      </c>
      <c r="AV117">
        <v>-2.492670228203945E-262</v>
      </c>
      <c r="AW117">
        <v>1.2535835748390329E-262</v>
      </c>
      <c r="AX117">
        <v>-1.090960081926465E-263</v>
      </c>
    </row>
    <row r="118" spans="1:50" x14ac:dyDescent="0.25">
      <c r="A118">
        <v>6.6719356617712181E-2</v>
      </c>
      <c r="B118">
        <v>0.22469590056458649</v>
      </c>
      <c r="C118">
        <v>0.43931840303454439</v>
      </c>
      <c r="D118">
        <v>0.23050288589379511</v>
      </c>
      <c r="E118">
        <v>-8.3987335135724869E-3</v>
      </c>
      <c r="F118">
        <v>-5.5482312505072677E-2</v>
      </c>
      <c r="G118">
        <v>5.3512402060023313E-2</v>
      </c>
      <c r="H118">
        <v>-0.13857141639660339</v>
      </c>
      <c r="I118">
        <v>-0.43673853097657961</v>
      </c>
      <c r="J118">
        <v>-0.14539032298777041</v>
      </c>
      <c r="K118">
        <v>-3.0058068038956519E-2</v>
      </c>
      <c r="L118">
        <v>-0.1627530898342035</v>
      </c>
      <c r="M118">
        <v>0.19981619978062451</v>
      </c>
      <c r="N118">
        <v>3.3943844975829793E-2</v>
      </c>
      <c r="O118">
        <v>4.1326821309389597E-2</v>
      </c>
      <c r="P118">
        <v>-0.12579678727614069</v>
      </c>
      <c r="Q118">
        <v>0.1489469684517532</v>
      </c>
      <c r="R118">
        <v>0.25007990141099351</v>
      </c>
      <c r="S118">
        <v>0.26178739301940052</v>
      </c>
      <c r="T118">
        <v>-0.12870257895345949</v>
      </c>
      <c r="U118">
        <v>-0.43872311890681082</v>
      </c>
      <c r="V118">
        <v>-0.20068994282124539</v>
      </c>
      <c r="W118">
        <v>0.22972871118693761</v>
      </c>
      <c r="X118">
        <v>0.13869077386099851</v>
      </c>
      <c r="Y118">
        <v>0.53421370627572506</v>
      </c>
      <c r="Z118">
        <v>-0.2304142911774541</v>
      </c>
      <c r="AA118">
        <v>0.18813255967928361</v>
      </c>
      <c r="AB118">
        <v>-6.3284159536334789E-2</v>
      </c>
      <c r="AC118">
        <v>0.22723542181851891</v>
      </c>
      <c r="AD118">
        <v>6.4807846033193547E-2</v>
      </c>
      <c r="AE118">
        <v>-0.21506240864123979</v>
      </c>
      <c r="AF118">
        <v>0.12957238550444719</v>
      </c>
      <c r="AG118">
        <v>2.7461062956615059E-2</v>
      </c>
      <c r="AH118">
        <v>-0.2922382101165204</v>
      </c>
      <c r="AI118">
        <v>-0.17015304605389059</v>
      </c>
      <c r="AJ118">
        <v>-9.2872033055721004E-2</v>
      </c>
      <c r="AK118">
        <v>1.614852929104646E-2</v>
      </c>
      <c r="AL118">
        <v>-4.4392798034538043E-2</v>
      </c>
      <c r="AM118">
        <v>0.36512338285156798</v>
      </c>
      <c r="AN118">
        <v>0.27880896011345152</v>
      </c>
      <c r="AO118">
        <v>-0.2484018946164098</v>
      </c>
      <c r="AP118">
        <v>0.18854675427315609</v>
      </c>
      <c r="AQ118">
        <v>-0.34094616621109869</v>
      </c>
      <c r="AR118">
        <v>0.3252186475897163</v>
      </c>
      <c r="AS118">
        <v>-0.27972392320489192</v>
      </c>
      <c r="AT118">
        <v>-3.9570294229955887E-2</v>
      </c>
      <c r="AU118">
        <v>9.1162666500176251E-2</v>
      </c>
      <c r="AV118">
        <v>-0.22086414585455569</v>
      </c>
      <c r="AW118">
        <v>-7.1137908373362438E-2</v>
      </c>
      <c r="AX118">
        <v>-0.21382985908522709</v>
      </c>
    </row>
    <row r="119" spans="1:50" x14ac:dyDescent="0.25">
      <c r="A119">
        <v>-0.1245535414748012</v>
      </c>
      <c r="B119">
        <v>0.18436038788017731</v>
      </c>
      <c r="C119">
        <v>-0.16140995094792229</v>
      </c>
      <c r="D119">
        <v>0.1087144801077503</v>
      </c>
      <c r="E119">
        <v>-8.2461012256531879E-2</v>
      </c>
      <c r="F119">
        <v>1.57946321916341E-2</v>
      </c>
      <c r="G119">
        <v>-5.7071948888203487E-2</v>
      </c>
      <c r="H119">
        <v>3.4218909161125473E-2</v>
      </c>
      <c r="I119">
        <v>2.4295367983587269E-2</v>
      </c>
      <c r="J119">
        <v>4.8098676271160087E-2</v>
      </c>
      <c r="K119">
        <v>0.115375515020763</v>
      </c>
      <c r="L119">
        <v>0.15047163170426431</v>
      </c>
      <c r="M119">
        <v>0.16042812911449991</v>
      </c>
      <c r="N119">
        <v>2.7599835297053021E-2</v>
      </c>
      <c r="O119">
        <v>-5.1039963853204133E-2</v>
      </c>
      <c r="P119">
        <v>4.3838261018466898E-2</v>
      </c>
      <c r="Q119">
        <v>-0.1361917651524531</v>
      </c>
      <c r="R119">
        <v>8.886972675270545E-2</v>
      </c>
      <c r="S119">
        <v>9.7614043592928079E-2</v>
      </c>
      <c r="T119">
        <v>1.5950376708570638E-2</v>
      </c>
      <c r="U119">
        <v>-3.7407533204377251E-2</v>
      </c>
      <c r="V119">
        <v>-8.0595329182546221E-2</v>
      </c>
      <c r="W119">
        <v>-9.7613921668089701E-2</v>
      </c>
      <c r="X119">
        <v>8.7740353537965679E-2</v>
      </c>
      <c r="Y119">
        <v>7.8727987803860443E-3</v>
      </c>
      <c r="Z119">
        <v>3.0755555635511179E-3</v>
      </c>
      <c r="AA119">
        <v>-5.1630768968604933E-2</v>
      </c>
      <c r="AB119">
        <v>0.131273438663741</v>
      </c>
      <c r="AC119">
        <v>0.20558053552363559</v>
      </c>
      <c r="AD119">
        <v>0.12966063955223209</v>
      </c>
      <c r="AE119">
        <v>4.5546292757353703E-2</v>
      </c>
      <c r="AF119">
        <v>9.6335240178842249E-2</v>
      </c>
      <c r="AG119">
        <v>-7.5110561676226872E-2</v>
      </c>
      <c r="AH119">
        <v>4.0220913211800033E-2</v>
      </c>
      <c r="AI119">
        <v>0.157126396096679</v>
      </c>
      <c r="AJ119">
        <v>0.16038098828926611</v>
      </c>
      <c r="AK119">
        <v>-0.12294830566511181</v>
      </c>
      <c r="AL119">
        <v>2.9146425340224429E-2</v>
      </c>
      <c r="AM119">
        <v>-1.4744496376264659E-2</v>
      </c>
      <c r="AN119">
        <v>-1.0854318882530941E-3</v>
      </c>
      <c r="AO119">
        <v>0.19524269152124521</v>
      </c>
      <c r="AP119">
        <v>-0.12957869294721081</v>
      </c>
      <c r="AQ119">
        <v>8.9837104438788298E-2</v>
      </c>
      <c r="AR119">
        <v>-7.4126973997105383E-3</v>
      </c>
      <c r="AS119">
        <v>-5.571874380641214E-2</v>
      </c>
      <c r="AT119">
        <v>-1.5984012863479919E-3</v>
      </c>
      <c r="AU119">
        <v>1.121701142071406E-2</v>
      </c>
      <c r="AV119">
        <v>-0.14100816457282819</v>
      </c>
      <c r="AW119">
        <v>1.905640696077621E-2</v>
      </c>
      <c r="AX119">
        <v>1.9174535027769009E-2</v>
      </c>
    </row>
    <row r="120" spans="1:50" x14ac:dyDescent="0.25">
      <c r="A120">
        <v>0.34700679277682922</v>
      </c>
      <c r="B120">
        <v>-0.11219949514268809</v>
      </c>
      <c r="C120">
        <v>-0.19094509782364141</v>
      </c>
      <c r="D120">
        <v>-7.877982500308478E-2</v>
      </c>
      <c r="E120">
        <v>-0.23451341544241089</v>
      </c>
      <c r="F120">
        <v>6.7566341164001051E-2</v>
      </c>
      <c r="G120">
        <v>0.20723836507854171</v>
      </c>
      <c r="H120">
        <v>-0.34666990445934648</v>
      </c>
      <c r="I120">
        <v>0.20756601626455221</v>
      </c>
      <c r="J120">
        <v>0.84449363572530101</v>
      </c>
      <c r="K120">
        <v>0.3615686462593346</v>
      </c>
      <c r="L120">
        <v>0.40419483129234779</v>
      </c>
      <c r="M120">
        <v>0.1155132874274525</v>
      </c>
      <c r="N120">
        <v>0.27857698343481752</v>
      </c>
      <c r="O120">
        <v>-0.16592456131152919</v>
      </c>
      <c r="P120">
        <v>-1.5900611484984041E-2</v>
      </c>
      <c r="Q120">
        <v>-1.9234480086160789E-2</v>
      </c>
      <c r="R120">
        <v>0.14187070591743051</v>
      </c>
      <c r="S120">
        <v>0.49591381280321101</v>
      </c>
      <c r="T120">
        <v>0.29903218198632042</v>
      </c>
      <c r="U120">
        <v>0.16519274171332229</v>
      </c>
      <c r="V120">
        <v>9.4612844005574862E-2</v>
      </c>
      <c r="W120">
        <v>0.174127612351652</v>
      </c>
      <c r="X120">
        <v>0.44148477769105132</v>
      </c>
      <c r="Y120">
        <v>0.3947060044595716</v>
      </c>
      <c r="Z120">
        <v>0.1210544968205761</v>
      </c>
      <c r="AA120">
        <v>-0.44516791342591822</v>
      </c>
      <c r="AB120">
        <v>0.2509407173879416</v>
      </c>
      <c r="AC120">
        <v>-7.4888770918017045E-2</v>
      </c>
      <c r="AD120">
        <v>0.16346027736289889</v>
      </c>
      <c r="AE120">
        <v>0.27226651418044279</v>
      </c>
      <c r="AF120">
        <v>0.19722015302206711</v>
      </c>
      <c r="AG120">
        <v>0.32451916828278349</v>
      </c>
      <c r="AH120">
        <v>-3.5372684503834982E-2</v>
      </c>
      <c r="AI120">
        <v>0.26558523099421449</v>
      </c>
      <c r="AJ120">
        <v>-2.6479315032393882E-3</v>
      </c>
      <c r="AK120">
        <v>0.30279018008527547</v>
      </c>
      <c r="AL120">
        <v>-4.7927854589969968E-2</v>
      </c>
      <c r="AM120">
        <v>-0.1704456562740376</v>
      </c>
      <c r="AN120">
        <v>-0.28492500363796508</v>
      </c>
      <c r="AO120">
        <v>-0.15063713890994551</v>
      </c>
      <c r="AP120">
        <v>2.648780800368826E-2</v>
      </c>
      <c r="AQ120">
        <v>-6.8612739476354961E-2</v>
      </c>
      <c r="AR120">
        <v>0.16092258219667821</v>
      </c>
      <c r="AS120">
        <v>0.3273116636403558</v>
      </c>
      <c r="AT120">
        <v>0.3380085957678331</v>
      </c>
      <c r="AU120">
        <v>-0.1246224015816806</v>
      </c>
      <c r="AV120">
        <v>0.22148130866273361</v>
      </c>
      <c r="AW120">
        <v>-6.5771399189666679E-2</v>
      </c>
      <c r="AX120">
        <v>0.59061028180799857</v>
      </c>
    </row>
    <row r="121" spans="1:50" x14ac:dyDescent="0.25">
      <c r="A121">
        <v>7.0948874512568264E-3</v>
      </c>
      <c r="B121">
        <v>0.1110052838476491</v>
      </c>
      <c r="C121">
        <v>-0.15093956478662279</v>
      </c>
      <c r="D121">
        <v>-0.17976996666739839</v>
      </c>
      <c r="E121">
        <v>0.26970582422583161</v>
      </c>
      <c r="F121">
        <v>-0.1125742842084221</v>
      </c>
      <c r="G121">
        <v>-0.1096660823456885</v>
      </c>
      <c r="H121">
        <v>0.13015573525256341</v>
      </c>
      <c r="I121">
        <v>-2.457943402825297E-2</v>
      </c>
      <c r="J121">
        <v>0.16569944574019169</v>
      </c>
      <c r="K121">
        <v>0.30687197534662869</v>
      </c>
      <c r="L121">
        <v>1.278540266833344E-2</v>
      </c>
      <c r="M121">
        <v>-3.420289426893318E-3</v>
      </c>
      <c r="N121">
        <v>0.1181768245104772</v>
      </c>
      <c r="O121">
        <v>0.13701519927624201</v>
      </c>
      <c r="P121">
        <v>-2.8449228877291122E-3</v>
      </c>
      <c r="Q121">
        <v>-8.8527172552500241E-2</v>
      </c>
      <c r="R121">
        <v>0.26967720443749699</v>
      </c>
      <c r="S121">
        <v>0.2208400441864021</v>
      </c>
      <c r="T121">
        <v>6.3567434963308966E-2</v>
      </c>
      <c r="U121">
        <v>-0.1178021937531689</v>
      </c>
      <c r="V121">
        <v>0.12602954770424379</v>
      </c>
      <c r="W121">
        <v>-1.4534769783966299E-2</v>
      </c>
      <c r="X121">
        <v>0.19996216725086549</v>
      </c>
      <c r="Y121">
        <v>6.9339338372315706E-2</v>
      </c>
      <c r="Z121">
        <v>7.7393047485861659E-3</v>
      </c>
      <c r="AA121">
        <v>0.31993418624201408</v>
      </c>
      <c r="AB121">
        <v>-0.27338700898159968</v>
      </c>
      <c r="AC121">
        <v>5.9199195449425299E-2</v>
      </c>
      <c r="AD121">
        <v>-0.33516098559256191</v>
      </c>
      <c r="AE121">
        <v>0.29010818723707932</v>
      </c>
      <c r="AF121">
        <v>-1.8645212046474988E-2</v>
      </c>
      <c r="AG121">
        <v>6.2226906669035471E-2</v>
      </c>
      <c r="AH121">
        <v>-2.8679403755294569E-2</v>
      </c>
      <c r="AI121">
        <v>0.23102859880845381</v>
      </c>
      <c r="AJ121">
        <v>0.21703658318865349</v>
      </c>
      <c r="AK121">
        <v>-0.15332464561917741</v>
      </c>
      <c r="AL121">
        <v>-7.2985381468896535E-2</v>
      </c>
      <c r="AM121">
        <v>1.424688392478274E-2</v>
      </c>
      <c r="AN121">
        <v>-0.2247375508586599</v>
      </c>
      <c r="AO121">
        <v>1.596054208828567E-3</v>
      </c>
      <c r="AP121">
        <v>0.1976981834879486</v>
      </c>
      <c r="AQ121">
        <v>-8.285930842108917E-2</v>
      </c>
      <c r="AR121">
        <v>-4.6190779391875512E-2</v>
      </c>
      <c r="AS121">
        <v>0.31706845935614369</v>
      </c>
      <c r="AT121">
        <v>0.35137538216427622</v>
      </c>
      <c r="AU121">
        <v>0.16345538058609579</v>
      </c>
      <c r="AV121">
        <v>7.8347207541537969E-2</v>
      </c>
      <c r="AW121">
        <v>-1.2046953289714489E-2</v>
      </c>
      <c r="AX121">
        <v>0.27204894070115238</v>
      </c>
    </row>
    <row r="122" spans="1:50" x14ac:dyDescent="0.25">
      <c r="A122">
        <v>0.55504540318791262</v>
      </c>
      <c r="B122">
        <v>0.56158677713022909</v>
      </c>
      <c r="C122">
        <v>0.50892915244360426</v>
      </c>
      <c r="D122">
        <v>-0.50829784176569504</v>
      </c>
      <c r="E122">
        <v>0.69907413881266289</v>
      </c>
      <c r="F122">
        <v>-0.56966678444429719</v>
      </c>
      <c r="G122">
        <v>0.34369797879220859</v>
      </c>
      <c r="H122">
        <v>-0.34793656205531559</v>
      </c>
      <c r="I122">
        <v>0.54387601601578262</v>
      </c>
      <c r="J122">
        <v>0.4290086964248514</v>
      </c>
      <c r="K122">
        <v>0.79593979168417761</v>
      </c>
      <c r="L122">
        <v>-9.525834883088441E-2</v>
      </c>
      <c r="M122">
        <v>-0.15037630215782291</v>
      </c>
      <c r="N122">
        <v>-0.28862259808955082</v>
      </c>
      <c r="O122">
        <v>0.21407931091243951</v>
      </c>
      <c r="P122">
        <v>0.38606547653311951</v>
      </c>
      <c r="Q122">
        <v>0.75559381316817231</v>
      </c>
      <c r="R122">
        <v>0.20184433962978371</v>
      </c>
      <c r="S122">
        <v>-0.9979132104374685</v>
      </c>
      <c r="T122">
        <v>0.56857308922721195</v>
      </c>
      <c r="U122">
        <v>0.57006413594862793</v>
      </c>
      <c r="V122">
        <v>-0.33083749729082529</v>
      </c>
      <c r="W122">
        <v>1.7268060491190281E-2</v>
      </c>
      <c r="X122">
        <v>0.78519063316127269</v>
      </c>
      <c r="Y122">
        <v>-0.43147668059280492</v>
      </c>
      <c r="Z122">
        <v>-9.2476924910967193E-2</v>
      </c>
      <c r="AA122">
        <v>-0.27522301275484679</v>
      </c>
      <c r="AB122">
        <v>0.42165099448531063</v>
      </c>
      <c r="AC122">
        <v>-0.2093634318710926</v>
      </c>
      <c r="AD122">
        <v>1.296759886206383E-2</v>
      </c>
      <c r="AE122">
        <v>-0.74631499003859292</v>
      </c>
      <c r="AF122">
        <v>0.16935167596097689</v>
      </c>
      <c r="AG122">
        <v>-0.68164626173556597</v>
      </c>
      <c r="AH122">
        <v>0.18171075663240199</v>
      </c>
      <c r="AI122">
        <v>0.1994436393187824</v>
      </c>
      <c r="AJ122">
        <v>-1.052484984505315</v>
      </c>
      <c r="AK122">
        <v>0.65196486812096688</v>
      </c>
      <c r="AL122">
        <v>-4.845293760167755E-2</v>
      </c>
      <c r="AM122">
        <v>-0.1168812024555228</v>
      </c>
      <c r="AN122">
        <v>-1.005453987174779</v>
      </c>
      <c r="AO122">
        <v>9.8408115741338412E-2</v>
      </c>
      <c r="AP122">
        <v>0.2117487197885039</v>
      </c>
      <c r="AQ122">
        <v>1.778313954335798E-2</v>
      </c>
      <c r="AR122">
        <v>-0.24443075529134281</v>
      </c>
      <c r="AS122">
        <v>0.21369446833690731</v>
      </c>
      <c r="AT122">
        <v>-0.76452736053202219</v>
      </c>
      <c r="AU122">
        <v>-0.1491202702729042</v>
      </c>
      <c r="AV122">
        <v>-0.58046627344597168</v>
      </c>
      <c r="AW122">
        <v>0.78324348347029293</v>
      </c>
      <c r="AX122">
        <v>0.39588085198574879</v>
      </c>
    </row>
    <row r="123" spans="1:50" x14ac:dyDescent="0.25">
      <c r="A123">
        <v>2.0867052554125461E-2</v>
      </c>
      <c r="B123">
        <v>2.3257838754963379E-4</v>
      </c>
      <c r="C123">
        <v>5.3165601060737297E-2</v>
      </c>
      <c r="D123">
        <v>-0.17474211255523139</v>
      </c>
      <c r="E123">
        <v>-0.1097737740252171</v>
      </c>
      <c r="F123">
        <v>0.17852547782034581</v>
      </c>
      <c r="G123">
        <v>7.1684778447355643E-2</v>
      </c>
      <c r="H123">
        <v>-3.3413206138006912E-2</v>
      </c>
      <c r="I123">
        <v>2.4113379345680801E-2</v>
      </c>
      <c r="J123">
        <v>2.607843926675184E-3</v>
      </c>
      <c r="K123">
        <v>-6.1079895578221223E-2</v>
      </c>
      <c r="L123">
        <v>0.13693457505508139</v>
      </c>
      <c r="M123">
        <v>-0.16001164252306729</v>
      </c>
      <c r="N123">
        <v>0.1209895390729383</v>
      </c>
      <c r="O123">
        <v>9.8377751910389846E-2</v>
      </c>
      <c r="P123">
        <v>1.4026232299611471E-2</v>
      </c>
      <c r="Q123">
        <v>0.14933176484910529</v>
      </c>
      <c r="R123">
        <v>0.21641340634901829</v>
      </c>
      <c r="S123">
        <v>-2.771052023076568E-2</v>
      </c>
      <c r="T123">
        <v>-5.5569907125615062E-2</v>
      </c>
      <c r="U123">
        <v>-8.3084871149933705E-3</v>
      </c>
      <c r="V123">
        <v>4.6226706649965506E-3</v>
      </c>
      <c r="W123">
        <v>2.9118366769004391E-2</v>
      </c>
      <c r="X123">
        <v>0.1172949133767974</v>
      </c>
      <c r="Y123">
        <v>9.5918761755863891E-2</v>
      </c>
      <c r="Z123">
        <v>-5.6497109554910913E-2</v>
      </c>
      <c r="AA123">
        <v>0.1025287055321381</v>
      </c>
      <c r="AB123">
        <v>-2.8488042877821571E-2</v>
      </c>
      <c r="AC123">
        <v>-7.0895853324763225E-2</v>
      </c>
      <c r="AD123">
        <v>1.5834929331777981E-2</v>
      </c>
      <c r="AE123">
        <v>0.1547842006914639</v>
      </c>
      <c r="AF123">
        <v>-9.2452671401944339E-2</v>
      </c>
      <c r="AG123">
        <v>1.475113071897103E-2</v>
      </c>
      <c r="AH123">
        <v>0.16406347090980419</v>
      </c>
      <c r="AI123">
        <v>6.7657886867368192E-2</v>
      </c>
      <c r="AJ123">
        <v>-0.1107123317808654</v>
      </c>
      <c r="AK123">
        <v>2.1582835253323579E-2</v>
      </c>
      <c r="AL123">
        <v>-0.1244969124853972</v>
      </c>
      <c r="AM123">
        <v>4.445360307084123E-2</v>
      </c>
      <c r="AN123">
        <v>0.25848565020076009</v>
      </c>
      <c r="AO123">
        <v>-8.3073034599007806E-2</v>
      </c>
      <c r="AP123">
        <v>-0.11429845366015561</v>
      </c>
      <c r="AQ123">
        <v>-7.4150072841465589E-2</v>
      </c>
      <c r="AR123">
        <v>2.457957639603188E-2</v>
      </c>
      <c r="AS123">
        <v>-0.2044673509181138</v>
      </c>
      <c r="AT123">
        <v>6.2805465496957426E-3</v>
      </c>
      <c r="AU123">
        <v>0.13305210240124429</v>
      </c>
      <c r="AV123">
        <v>-5.8155783146948963E-2</v>
      </c>
      <c r="AW123">
        <v>-6.9837428988756459E-2</v>
      </c>
      <c r="AX123">
        <v>2.5161148843197549E-3</v>
      </c>
    </row>
    <row r="124" spans="1:50" x14ac:dyDescent="0.25">
      <c r="A124">
        <v>-0.30245612137157829</v>
      </c>
      <c r="B124">
        <v>0.10908258577101961</v>
      </c>
      <c r="C124">
        <v>-3.7802878936954991E-2</v>
      </c>
      <c r="D124">
        <v>-6.7190932202991997E-3</v>
      </c>
      <c r="E124">
        <v>0.26549300883721411</v>
      </c>
      <c r="F124">
        <v>-0.1020530612260916</v>
      </c>
      <c r="G124">
        <v>0.12467466997135999</v>
      </c>
      <c r="H124">
        <v>0.40354333103529511</v>
      </c>
      <c r="I124">
        <v>-3.293436755028553E-3</v>
      </c>
      <c r="J124">
        <v>-6.0700056580119927E-2</v>
      </c>
      <c r="K124">
        <v>0.38411136956074871</v>
      </c>
      <c r="L124">
        <v>-8.7802324333089737E-2</v>
      </c>
      <c r="M124">
        <v>-5.4846333598436332E-2</v>
      </c>
      <c r="N124">
        <v>0.18089442658458649</v>
      </c>
      <c r="O124">
        <v>-0.30949651084976099</v>
      </c>
      <c r="P124">
        <v>-0.14113297158204799</v>
      </c>
      <c r="Q124">
        <v>-0.1853672266837316</v>
      </c>
      <c r="R124">
        <v>0.16238183800452929</v>
      </c>
      <c r="S124">
        <v>0.10476776053050089</v>
      </c>
      <c r="T124">
        <v>-0.18335814632816591</v>
      </c>
      <c r="U124">
        <v>-5.0917043148531307E-2</v>
      </c>
      <c r="V124">
        <v>-0.17832185888009999</v>
      </c>
      <c r="W124">
        <v>0.19792939787904401</v>
      </c>
      <c r="X124">
        <v>-0.23069833018447319</v>
      </c>
      <c r="Y124">
        <v>-3.5287135522651419E-2</v>
      </c>
      <c r="Z124">
        <v>7.7402830529451239E-2</v>
      </c>
      <c r="AA124">
        <v>0.48167148517958508</v>
      </c>
      <c r="AB124">
        <v>-0.44344079032986639</v>
      </c>
      <c r="AC124">
        <v>-6.6785312091319785E-2</v>
      </c>
      <c r="AD124">
        <v>-0.31855690073967158</v>
      </c>
      <c r="AE124">
        <v>-0.1641883918695955</v>
      </c>
      <c r="AF124">
        <v>0.40414084245429482</v>
      </c>
      <c r="AG124">
        <v>0.29977743969868659</v>
      </c>
      <c r="AH124">
        <v>-5.4269553348542093E-4</v>
      </c>
      <c r="AI124">
        <v>0.140894650504057</v>
      </c>
      <c r="AJ124">
        <v>-0.32175132129077377</v>
      </c>
      <c r="AK124">
        <v>4.851228223339462E-2</v>
      </c>
      <c r="AL124">
        <v>-7.8308020813417339E-2</v>
      </c>
      <c r="AM124">
        <v>-9.6402524941978859E-2</v>
      </c>
      <c r="AN124">
        <v>-0.13888680243402041</v>
      </c>
      <c r="AO124">
        <v>0.25765222912730451</v>
      </c>
      <c r="AP124">
        <v>4.1687448789334128E-2</v>
      </c>
      <c r="AQ124">
        <v>0.22016475918812611</v>
      </c>
      <c r="AR124">
        <v>8.5086908142765916E-3</v>
      </c>
      <c r="AS124">
        <v>0.30171884602270249</v>
      </c>
      <c r="AT124">
        <v>9.590391394419133E-2</v>
      </c>
      <c r="AU124">
        <v>-4.3248583758799933E-2</v>
      </c>
      <c r="AV124">
        <v>-0.16631422050089051</v>
      </c>
      <c r="AW124">
        <v>0.63061923560363631</v>
      </c>
      <c r="AX124">
        <v>-0.1705726078539278</v>
      </c>
    </row>
    <row r="125" spans="1:50" x14ac:dyDescent="0.25">
      <c r="A125">
        <v>0.14805461630519831</v>
      </c>
      <c r="B125">
        <v>6.1077210203938977E-2</v>
      </c>
      <c r="C125">
        <v>-0.24359938314228841</v>
      </c>
      <c r="D125">
        <v>-1.997725940645111E-2</v>
      </c>
      <c r="E125">
        <v>3.9489878046301247E-2</v>
      </c>
      <c r="F125">
        <v>-0.2046394392607841</v>
      </c>
      <c r="G125">
        <v>-7.7364038741575589E-2</v>
      </c>
      <c r="H125">
        <v>-0.11777398533804929</v>
      </c>
      <c r="I125">
        <v>-8.1512361627059951E-2</v>
      </c>
      <c r="J125">
        <v>-0.23269054273850859</v>
      </c>
      <c r="K125">
        <v>-0.25906059711064011</v>
      </c>
      <c r="L125">
        <v>3.8395469371657963E-2</v>
      </c>
      <c r="M125">
        <v>-0.13662283585904161</v>
      </c>
      <c r="N125">
        <v>-9.9990758347647576E-2</v>
      </c>
      <c r="O125">
        <v>-7.6167740104262612E-3</v>
      </c>
      <c r="P125">
        <v>-0.2455542748969585</v>
      </c>
      <c r="Q125">
        <v>-8.9430221237858543E-2</v>
      </c>
      <c r="R125">
        <v>-7.6931726703185262E-3</v>
      </c>
      <c r="S125">
        <v>-0.48701921475695298</v>
      </c>
      <c r="T125">
        <v>-0.59255837852041593</v>
      </c>
      <c r="U125">
        <v>-9.7590171116746574E-2</v>
      </c>
      <c r="V125">
        <v>-1.4973468233704851E-2</v>
      </c>
      <c r="W125">
        <v>-0.20707480404998299</v>
      </c>
      <c r="X125">
        <v>-0.55988495692711671</v>
      </c>
      <c r="Y125">
        <v>5.2037792200777588E-2</v>
      </c>
      <c r="Z125">
        <v>-0.23857692991907159</v>
      </c>
      <c r="AA125">
        <v>-0.4572741183331766</v>
      </c>
      <c r="AB125">
        <v>-0.12759105258929571</v>
      </c>
      <c r="AC125">
        <v>-5.2169576173787847E-2</v>
      </c>
      <c r="AD125">
        <v>0.34160570902724491</v>
      </c>
      <c r="AE125">
        <v>-0.4183083233649354</v>
      </c>
      <c r="AF125">
        <v>0.17401772289404319</v>
      </c>
      <c r="AG125">
        <v>-4.1780690785183441E-2</v>
      </c>
      <c r="AH125">
        <v>-2.3232616830216601E-2</v>
      </c>
      <c r="AI125">
        <v>-0.23318198927521411</v>
      </c>
      <c r="AJ125">
        <v>-0.25410421827764479</v>
      </c>
      <c r="AK125">
        <v>-0.2144599991501559</v>
      </c>
      <c r="AL125">
        <v>-0.1444617411512705</v>
      </c>
      <c r="AM125">
        <v>0.51818102492758777</v>
      </c>
      <c r="AN125">
        <v>-4.9054427153959234E-3</v>
      </c>
      <c r="AO125">
        <v>0.2783469543136709</v>
      </c>
      <c r="AP125">
        <v>-0.34202135622482238</v>
      </c>
      <c r="AQ125">
        <v>0.17185030367932869</v>
      </c>
      <c r="AR125">
        <v>0.20696184505837489</v>
      </c>
      <c r="AS125">
        <v>-4.5663774083568422E-3</v>
      </c>
      <c r="AT125">
        <v>0.62788954627101667</v>
      </c>
      <c r="AU125">
        <v>5.7351372230452592E-2</v>
      </c>
      <c r="AV125">
        <v>-3.9045514435925077E-2</v>
      </c>
      <c r="AW125">
        <v>-0.1516792482627243</v>
      </c>
      <c r="AX125">
        <v>-7.8602077125988323E-2</v>
      </c>
    </row>
    <row r="126" spans="1:50" x14ac:dyDescent="0.25">
      <c r="A126">
        <v>-6.7861711730324417E-2</v>
      </c>
      <c r="B126">
        <v>-7.1355365003354307E-2</v>
      </c>
      <c r="C126">
        <v>8.1681533628419942E-2</v>
      </c>
      <c r="D126">
        <v>-6.6347750704562489E-2</v>
      </c>
      <c r="E126">
        <v>-0.1969556406044059</v>
      </c>
      <c r="F126">
        <v>4.8788744912956372E-2</v>
      </c>
      <c r="G126">
        <v>0.1076187350522506</v>
      </c>
      <c r="H126">
        <v>-8.6395748135907058E-2</v>
      </c>
      <c r="I126">
        <v>-7.5977896978804443E-2</v>
      </c>
      <c r="J126">
        <v>-3.524106714589359E-2</v>
      </c>
      <c r="K126">
        <v>1.926009054714551E-2</v>
      </c>
      <c r="L126">
        <v>-7.5970505076509556E-2</v>
      </c>
      <c r="M126">
        <v>3.6903153633225973E-2</v>
      </c>
      <c r="N126">
        <v>0.25177115329344868</v>
      </c>
      <c r="O126">
        <v>-6.3076374937820076E-2</v>
      </c>
      <c r="P126">
        <v>-5.6882029847517467E-2</v>
      </c>
      <c r="Q126">
        <v>0.23459100298261701</v>
      </c>
      <c r="R126">
        <v>-9.0294557177398149E-2</v>
      </c>
      <c r="S126">
        <v>7.3638695204399765E-2</v>
      </c>
      <c r="T126">
        <v>-6.9253577777939515E-2</v>
      </c>
      <c r="U126">
        <v>4.505933923767997E-2</v>
      </c>
      <c r="V126">
        <v>6.9020233999611394E-2</v>
      </c>
      <c r="W126">
        <v>-9.1206972620051813E-2</v>
      </c>
      <c r="X126">
        <v>-0.16408220252114761</v>
      </c>
      <c r="Y126">
        <v>0.21407428116218219</v>
      </c>
      <c r="Z126">
        <v>-0.17243316051363111</v>
      </c>
      <c r="AA126">
        <v>-0.15410402401143719</v>
      </c>
      <c r="AB126">
        <v>-0.2843239266189036</v>
      </c>
      <c r="AC126">
        <v>-1.075577953995031E-2</v>
      </c>
      <c r="AD126">
        <v>-8.5587468152796304E-4</v>
      </c>
      <c r="AE126">
        <v>-4.6417173203134141E-2</v>
      </c>
      <c r="AF126">
        <v>0.16993114468437889</v>
      </c>
      <c r="AG126">
        <v>9.613920333040149E-2</v>
      </c>
      <c r="AH126">
        <v>-8.1180813568687796E-2</v>
      </c>
      <c r="AI126">
        <v>-1.978975061263917E-2</v>
      </c>
      <c r="AJ126">
        <v>-3.3236387758175862E-2</v>
      </c>
      <c r="AK126">
        <v>8.5798582475565544E-2</v>
      </c>
      <c r="AL126">
        <v>0.16330882976295091</v>
      </c>
      <c r="AM126">
        <v>0.18518021216290589</v>
      </c>
      <c r="AN126">
        <v>-0.11004649699315611</v>
      </c>
      <c r="AO126">
        <v>-0.1659440432869308</v>
      </c>
      <c r="AP126">
        <v>-0.27738609358219019</v>
      </c>
      <c r="AQ126">
        <v>-9.9657361519011722E-2</v>
      </c>
      <c r="AR126">
        <v>3.0411250671409609E-2</v>
      </c>
      <c r="AS126">
        <v>0.23254972624251299</v>
      </c>
      <c r="AT126">
        <v>0.11824810522616799</v>
      </c>
      <c r="AU126">
        <v>-2.0516442792373319E-2</v>
      </c>
      <c r="AV126">
        <v>0.32654517261937349</v>
      </c>
      <c r="AW126">
        <v>3.0912146391908219E-3</v>
      </c>
      <c r="AX126">
        <v>2.4605086040035321E-2</v>
      </c>
    </row>
    <row r="127" spans="1:50" x14ac:dyDescent="0.25">
      <c r="A127">
        <v>0.24654765308997389</v>
      </c>
      <c r="B127">
        <v>-8.0062935012029102E-2</v>
      </c>
      <c r="C127">
        <v>0.28697738117143268</v>
      </c>
      <c r="D127">
        <v>0.17319209730957039</v>
      </c>
      <c r="E127">
        <v>-0.19711972460019131</v>
      </c>
      <c r="F127">
        <v>7.4537372154900194E-2</v>
      </c>
      <c r="G127">
        <v>2.9714721219567981E-2</v>
      </c>
      <c r="H127">
        <v>-0.15158265629952261</v>
      </c>
      <c r="I127">
        <v>-9.1809489460888807E-2</v>
      </c>
      <c r="J127">
        <v>5.4319053729002038E-2</v>
      </c>
      <c r="K127">
        <v>-0.14308808604957349</v>
      </c>
      <c r="L127">
        <v>0.14313535392391261</v>
      </c>
      <c r="M127">
        <v>0.29526756891939049</v>
      </c>
      <c r="N127">
        <v>-6.5693921698723678E-2</v>
      </c>
      <c r="O127">
        <v>-6.4369020868147581E-2</v>
      </c>
      <c r="P127">
        <v>0.12582762699893379</v>
      </c>
      <c r="Q127">
        <v>0.33989826901471049</v>
      </c>
      <c r="R127">
        <v>-6.7801150550370864E-2</v>
      </c>
      <c r="S127">
        <v>0.1393138354590302</v>
      </c>
      <c r="T127">
        <v>-0.1328309435684534</v>
      </c>
      <c r="U127">
        <v>0.20750009112439699</v>
      </c>
      <c r="V127">
        <v>-7.8336839581472167E-2</v>
      </c>
      <c r="W127">
        <v>9.116030462984813E-2</v>
      </c>
      <c r="X127">
        <v>0.25877333936874308</v>
      </c>
      <c r="Y127">
        <v>-3.4816692883485711E-2</v>
      </c>
      <c r="Z127">
        <v>-1.414713087865358E-2</v>
      </c>
      <c r="AA127">
        <v>0.48556558834780089</v>
      </c>
      <c r="AB127">
        <v>-9.1959825100243836E-2</v>
      </c>
      <c r="AC127">
        <v>0.1188608047444514</v>
      </c>
      <c r="AD127">
        <v>-0.3465329892767805</v>
      </c>
      <c r="AE127">
        <v>-0.27798544870075248</v>
      </c>
      <c r="AF127">
        <v>0.1094046038919806</v>
      </c>
      <c r="AG127">
        <v>0.1742774727273341</v>
      </c>
      <c r="AH127">
        <v>0.13478455374656551</v>
      </c>
      <c r="AI127">
        <v>-7.8660290056595084E-2</v>
      </c>
      <c r="AJ127">
        <v>0.45096705363435458</v>
      </c>
      <c r="AK127">
        <v>0.1727833215534906</v>
      </c>
      <c r="AL127">
        <v>0.45959594295782619</v>
      </c>
      <c r="AM127">
        <v>-0.19027622950444781</v>
      </c>
      <c r="AN127">
        <v>3.2441532709404108E-3</v>
      </c>
      <c r="AO127">
        <v>0.39159021668063171</v>
      </c>
      <c r="AP127">
        <v>-0.27965207207510878</v>
      </c>
      <c r="AQ127">
        <v>0.44644684659364409</v>
      </c>
      <c r="AR127">
        <v>0.42663442876559898</v>
      </c>
      <c r="AS127">
        <v>0.36464046600034078</v>
      </c>
      <c r="AT127">
        <v>-0.16948471065588949</v>
      </c>
      <c r="AU127">
        <v>-0.27886457038430301</v>
      </c>
      <c r="AV127">
        <v>0.43236431884195542</v>
      </c>
      <c r="AW127">
        <v>0.43408675720438811</v>
      </c>
      <c r="AX127">
        <v>0.31607872409410792</v>
      </c>
    </row>
    <row r="128" spans="1:50" x14ac:dyDescent="0.25">
      <c r="A128">
        <v>6.4859602247500286E-2</v>
      </c>
      <c r="B128">
        <v>-2.278058544245716E-2</v>
      </c>
      <c r="C128">
        <v>-2.650364158168474E-2</v>
      </c>
      <c r="D128">
        <v>5.7233781769178357E-2</v>
      </c>
      <c r="E128">
        <v>-0.1475658683524817</v>
      </c>
      <c r="F128">
        <v>8.2752217895970363E-3</v>
      </c>
      <c r="G128">
        <v>-1.149548791606487E-2</v>
      </c>
      <c r="H128">
        <v>-0.1588173651517058</v>
      </c>
      <c r="I128">
        <v>9.3046841559080745E-2</v>
      </c>
      <c r="J128">
        <v>0.13431371476396209</v>
      </c>
      <c r="K128">
        <v>9.6878887034569885E-2</v>
      </c>
      <c r="L128">
        <v>6.4771442849083399E-2</v>
      </c>
      <c r="M128">
        <v>-2.055169583708015E-2</v>
      </c>
      <c r="N128">
        <v>-3.4474088086548407E-2</v>
      </c>
      <c r="O128">
        <v>0.1247982973616589</v>
      </c>
      <c r="P128">
        <v>0.1243020873212719</v>
      </c>
      <c r="Q128">
        <v>0.1832387992343408</v>
      </c>
      <c r="R128">
        <v>-3.2580797675949007E-2</v>
      </c>
      <c r="S128">
        <v>5.0815672299099668E-2</v>
      </c>
      <c r="T128">
        <v>0.10048505098278281</v>
      </c>
      <c r="U128">
        <v>0.27922354621243572</v>
      </c>
      <c r="V128">
        <v>-9.9628061168757873E-2</v>
      </c>
      <c r="W128">
        <v>0.1048527161135538</v>
      </c>
      <c r="X128">
        <v>0.1547493516688728</v>
      </c>
      <c r="Y128">
        <v>-2.7863089743959631E-2</v>
      </c>
      <c r="Z128">
        <v>-6.8060902904151996E-2</v>
      </c>
      <c r="AA128">
        <v>-5.0262319852283431E-2</v>
      </c>
      <c r="AB128">
        <v>0.17005937641420851</v>
      </c>
      <c r="AC128">
        <v>0.1036267736897859</v>
      </c>
      <c r="AD128">
        <v>6.5777650775085614E-2</v>
      </c>
      <c r="AE128">
        <v>0.13008629783491091</v>
      </c>
      <c r="AF128">
        <v>-2.376735451101138E-2</v>
      </c>
      <c r="AG128">
        <v>-0.12936596158879679</v>
      </c>
      <c r="AH128">
        <v>2.494471677696335E-2</v>
      </c>
      <c r="AI128">
        <v>0.10152478029837279</v>
      </c>
      <c r="AJ128">
        <v>0.17341058485508701</v>
      </c>
      <c r="AK128">
        <v>-5.8814386912023037E-2</v>
      </c>
      <c r="AL128">
        <v>0.30625121099844888</v>
      </c>
      <c r="AM128">
        <v>5.5516275687137739E-2</v>
      </c>
      <c r="AN128">
        <v>-2.9909337740150671E-2</v>
      </c>
      <c r="AO128">
        <v>-0.1146404394084498</v>
      </c>
      <c r="AP128">
        <v>-5.6318470499899943E-2</v>
      </c>
      <c r="AQ128">
        <v>-7.0077312776417391E-2</v>
      </c>
      <c r="AR128">
        <v>2.193926703639049E-2</v>
      </c>
      <c r="AS128">
        <v>5.5061016218337928E-2</v>
      </c>
      <c r="AT128">
        <v>-0.10795946574196209</v>
      </c>
      <c r="AU128">
        <v>9.904558900673216E-2</v>
      </c>
      <c r="AV128">
        <v>0.19149757929225339</v>
      </c>
      <c r="AW128">
        <v>0.2863581541170519</v>
      </c>
      <c r="AX128">
        <v>5.0788578607373347E-2</v>
      </c>
    </row>
    <row r="129" spans="1:50" x14ac:dyDescent="0.25">
      <c r="A129">
        <v>0.28471784937335298</v>
      </c>
      <c r="B129">
        <v>-3.0381421204412871E-2</v>
      </c>
      <c r="C129">
        <v>-0.2286406845213578</v>
      </c>
      <c r="D129">
        <v>0.21065882705205621</v>
      </c>
      <c r="E129">
        <v>-0.20270187251395319</v>
      </c>
      <c r="F129">
        <v>-5.4509162875087834E-3</v>
      </c>
      <c r="G129">
        <v>-1.7304755170692531E-2</v>
      </c>
      <c r="H129">
        <v>-0.1538246115412559</v>
      </c>
      <c r="I129">
        <v>0.2335109644390381</v>
      </c>
      <c r="J129">
        <v>0.49032708303395611</v>
      </c>
      <c r="K129">
        <v>0.31710320876271181</v>
      </c>
      <c r="L129">
        <v>-3.2032403614294831E-2</v>
      </c>
      <c r="M129">
        <v>-0.13030490922978011</v>
      </c>
      <c r="N129">
        <v>0.11454370466978429</v>
      </c>
      <c r="O129">
        <v>-3.1754811833279453E-2</v>
      </c>
      <c r="P129">
        <v>-6.9074524372510882E-2</v>
      </c>
      <c r="Q129">
        <v>4.23089421903649E-2</v>
      </c>
      <c r="R129">
        <v>0.21696754796701009</v>
      </c>
      <c r="S129">
        <v>0.10129669741747981</v>
      </c>
      <c r="T129">
        <v>-1.8779012691235959E-2</v>
      </c>
      <c r="U129">
        <v>0.20230476562509089</v>
      </c>
      <c r="V129">
        <v>-1.40020221602958E-2</v>
      </c>
      <c r="W129">
        <v>4.2405741018813142E-2</v>
      </c>
      <c r="X129">
        <v>-3.9367306673693529E-2</v>
      </c>
      <c r="Y129">
        <v>5.5140933422653728E-2</v>
      </c>
      <c r="Z129">
        <v>0.56590159329506462</v>
      </c>
      <c r="AA129">
        <v>0.12548415042771729</v>
      </c>
      <c r="AB129">
        <v>7.2718268378476739E-2</v>
      </c>
      <c r="AC129">
        <v>8.04792813817332E-2</v>
      </c>
      <c r="AD129">
        <v>-0.11102169228284769</v>
      </c>
      <c r="AE129">
        <v>0.12599301766297011</v>
      </c>
      <c r="AF129">
        <v>0.2540082321094323</v>
      </c>
      <c r="AG129">
        <v>-6.5953054176616621E-2</v>
      </c>
      <c r="AH129">
        <v>-0.15696332193449791</v>
      </c>
      <c r="AI129">
        <v>0.22892290964679521</v>
      </c>
      <c r="AJ129">
        <v>0.44048793923260471</v>
      </c>
      <c r="AK129">
        <v>-0.21522229345329769</v>
      </c>
      <c r="AL129">
        <v>0.21745740413541681</v>
      </c>
      <c r="AM129">
        <v>7.4487226769725648E-2</v>
      </c>
      <c r="AN129">
        <v>-0.15696899793548569</v>
      </c>
      <c r="AO129">
        <v>-0.2039996782912627</v>
      </c>
      <c r="AP129">
        <v>-0.22860113728924</v>
      </c>
      <c r="AQ129">
        <v>-8.6908755591986062E-2</v>
      </c>
      <c r="AR129">
        <v>7.1683555512952624E-3</v>
      </c>
      <c r="AS129">
        <v>-8.8504905568594763E-2</v>
      </c>
      <c r="AT129">
        <v>0.1458853710502033</v>
      </c>
      <c r="AU129">
        <v>-0.22812841105639539</v>
      </c>
      <c r="AV129">
        <v>0.1755583918687165</v>
      </c>
      <c r="AW129">
        <v>-1.6642619056434549E-2</v>
      </c>
      <c r="AX129">
        <v>-2.109143716406851E-2</v>
      </c>
    </row>
    <row r="130" spans="1:50" x14ac:dyDescent="0.25">
      <c r="A130">
        <v>-0.1432646697732923</v>
      </c>
      <c r="B130">
        <v>3.7996720730628902E-2</v>
      </c>
      <c r="C130">
        <v>9.9707864510132582E-2</v>
      </c>
      <c r="D130">
        <v>0.13869119728257631</v>
      </c>
      <c r="E130">
        <v>-2.2683682246173651E-2</v>
      </c>
      <c r="F130">
        <v>5.975878881221177E-2</v>
      </c>
      <c r="G130">
        <v>3.183193055398395E-2</v>
      </c>
      <c r="H130">
        <v>3.6082578601621278E-2</v>
      </c>
      <c r="I130">
        <v>-3.3235347193485407E-2</v>
      </c>
      <c r="J130">
        <v>0.1504129410256522</v>
      </c>
      <c r="K130">
        <v>0.29053421301646593</v>
      </c>
      <c r="L130">
        <v>-2.4563721488673002E-2</v>
      </c>
      <c r="M130">
        <v>-2.4234133058764359E-2</v>
      </c>
      <c r="N130">
        <v>2.1627490851450149E-2</v>
      </c>
      <c r="O130">
        <v>2.4192681062296419E-2</v>
      </c>
      <c r="P130">
        <v>0.21904913714879129</v>
      </c>
      <c r="Q130">
        <v>-6.2829511458748585E-2</v>
      </c>
      <c r="R130">
        <v>2.3094239099699539E-2</v>
      </c>
      <c r="S130">
        <v>0.25997091941330341</v>
      </c>
      <c r="T130">
        <v>3.0096948071980139E-2</v>
      </c>
      <c r="U130">
        <v>5.4198643952946018E-2</v>
      </c>
      <c r="V130">
        <v>4.9041775351150389E-2</v>
      </c>
      <c r="W130">
        <v>0.12590712420024069</v>
      </c>
      <c r="X130">
        <v>3.4696321003382012E-2</v>
      </c>
      <c r="Y130">
        <v>0.20906198786205199</v>
      </c>
      <c r="Z130">
        <v>0.17629175919445711</v>
      </c>
      <c r="AA130">
        <v>0.21799668786263229</v>
      </c>
      <c r="AB130">
        <v>6.3465297378205887E-2</v>
      </c>
      <c r="AC130">
        <v>-2.535483479214103E-2</v>
      </c>
      <c r="AD130">
        <v>0.1313692736310231</v>
      </c>
      <c r="AE130">
        <v>-2.5380043240916309E-2</v>
      </c>
      <c r="AF130">
        <v>-2.3592007612294741E-2</v>
      </c>
      <c r="AG130">
        <v>0.1073219945779789</v>
      </c>
      <c r="AH130">
        <v>8.6580902768417387E-2</v>
      </c>
      <c r="AI130">
        <v>0.1107221182910809</v>
      </c>
      <c r="AJ130">
        <v>-0.1317224298853302</v>
      </c>
      <c r="AK130">
        <v>-3.1043814550533269E-3</v>
      </c>
      <c r="AL130">
        <v>-3.4428816482130177E-2</v>
      </c>
      <c r="AM130">
        <v>-5.3756531377407928E-2</v>
      </c>
      <c r="AN130">
        <v>-5.7169766964278071E-2</v>
      </c>
      <c r="AO130">
        <v>0.16637961397121151</v>
      </c>
      <c r="AP130">
        <v>6.2101609724036499E-2</v>
      </c>
      <c r="AQ130">
        <v>3.6221060069088637E-2</v>
      </c>
      <c r="AR130">
        <v>9.3188338928082929E-3</v>
      </c>
      <c r="AS130">
        <v>3.915015149856723E-2</v>
      </c>
      <c r="AT130">
        <v>4.2769908411604291E-3</v>
      </c>
      <c r="AU130">
        <v>-1.521626740547625E-2</v>
      </c>
      <c r="AV130">
        <v>-4.6520523113422203E-2</v>
      </c>
      <c r="AW130">
        <v>0.13843625846222099</v>
      </c>
      <c r="AX130">
        <v>0.1056740135763576</v>
      </c>
    </row>
    <row r="131" spans="1:50" x14ac:dyDescent="0.25">
      <c r="A131">
        <v>6.7956363323485661E-2</v>
      </c>
      <c r="B131">
        <v>-0.24274757039907621</v>
      </c>
      <c r="C131">
        <v>-0.234366598774116</v>
      </c>
      <c r="D131">
        <v>0.405226574146345</v>
      </c>
      <c r="E131">
        <v>-0.26071556716524608</v>
      </c>
      <c r="F131">
        <v>0.20950210157518651</v>
      </c>
      <c r="G131">
        <v>-0.16823746720015589</v>
      </c>
      <c r="H131">
        <v>-0.4387153222333981</v>
      </c>
      <c r="I131">
        <v>0.35798076156846409</v>
      </c>
      <c r="J131">
        <v>-6.1525740400907261E-2</v>
      </c>
      <c r="K131">
        <v>8.1615644060575934E-2</v>
      </c>
      <c r="L131">
        <v>0.15762448165426429</v>
      </c>
      <c r="M131">
        <v>0.42463596407400572</v>
      </c>
      <c r="N131">
        <v>-0.51631252443873499</v>
      </c>
      <c r="O131">
        <v>0.27730516848867071</v>
      </c>
      <c r="P131">
        <v>0.3036503083616901</v>
      </c>
      <c r="Q131">
        <v>0.23406380530833329</v>
      </c>
      <c r="R131">
        <v>0.16196605627133551</v>
      </c>
      <c r="S131">
        <v>0.40884296004888232</v>
      </c>
      <c r="T131">
        <v>3.1876767416650249E-3</v>
      </c>
      <c r="U131">
        <v>0.17722376292146891</v>
      </c>
      <c r="V131">
        <v>0.18413610235135519</v>
      </c>
      <c r="W131">
        <v>-0.26827308387385479</v>
      </c>
      <c r="X131">
        <v>0.32514339473068787</v>
      </c>
      <c r="Y131">
        <v>0.39206138593407952</v>
      </c>
      <c r="Z131">
        <v>0.73715516758632271</v>
      </c>
      <c r="AA131">
        <v>0.27352511888741637</v>
      </c>
      <c r="AB131">
        <v>8.7711928984523513E-2</v>
      </c>
      <c r="AC131">
        <v>-4.5788748171817689E-2</v>
      </c>
      <c r="AD131">
        <v>0.32359381399679538</v>
      </c>
      <c r="AE131">
        <v>1.9927860552408309E-2</v>
      </c>
      <c r="AF131">
        <v>0.44219893555151002</v>
      </c>
      <c r="AG131">
        <v>0.1958086502294695</v>
      </c>
      <c r="AH131">
        <v>8.1753545273924713E-2</v>
      </c>
      <c r="AI131">
        <v>-0.13690458938960159</v>
      </c>
      <c r="AJ131">
        <v>-3.6076906878009928E-2</v>
      </c>
      <c r="AK131">
        <v>-0.19263752554288449</v>
      </c>
      <c r="AL131">
        <v>0.5023245336426555</v>
      </c>
      <c r="AM131">
        <v>0.42719169966749149</v>
      </c>
      <c r="AN131">
        <v>0.31445570772439752</v>
      </c>
      <c r="AO131">
        <v>7.0879649929784461E-2</v>
      </c>
      <c r="AP131">
        <v>0.40958059947473557</v>
      </c>
      <c r="AQ131">
        <v>-0.12966412020090609</v>
      </c>
      <c r="AR131">
        <v>0.35759357238405848</v>
      </c>
      <c r="AS131">
        <v>-0.45300582945270051</v>
      </c>
      <c r="AT131">
        <v>0.15116340985860699</v>
      </c>
      <c r="AU131">
        <v>0.46011975917146042</v>
      </c>
      <c r="AV131">
        <v>0.25303724453068688</v>
      </c>
      <c r="AW131">
        <v>-0.25189065434925889</v>
      </c>
      <c r="AX131">
        <v>0.58838238893328654</v>
      </c>
    </row>
    <row r="132" spans="1:50" x14ac:dyDescent="0.25">
      <c r="A132">
        <v>-6.9474315868908856E-2</v>
      </c>
      <c r="B132">
        <v>4.2339539722033928E-2</v>
      </c>
      <c r="C132">
        <v>0.16515735102733661</v>
      </c>
      <c r="D132">
        <v>-2.1286970056050548E-2</v>
      </c>
      <c r="E132">
        <v>4.8390372695588393E-2</v>
      </c>
      <c r="F132">
        <v>4.0761464690281551E-2</v>
      </c>
      <c r="G132">
        <v>7.278994999665582E-2</v>
      </c>
      <c r="H132">
        <v>-4.9191742300182327E-2</v>
      </c>
      <c r="I132">
        <v>5.5589636739523988E-2</v>
      </c>
      <c r="J132">
        <v>0.13198501961937889</v>
      </c>
      <c r="K132">
        <v>0.12565676525728689</v>
      </c>
      <c r="L132">
        <v>-1.744857614337024E-2</v>
      </c>
      <c r="M132">
        <v>1.7360709439253739E-2</v>
      </c>
      <c r="N132">
        <v>-0.11502651112727839</v>
      </c>
      <c r="O132">
        <v>-3.3980813079566463E-2</v>
      </c>
      <c r="P132">
        <v>-1.120864712886741E-3</v>
      </c>
      <c r="Q132">
        <v>9.5385781667714484E-2</v>
      </c>
      <c r="R132">
        <v>6.2253699879273788E-2</v>
      </c>
      <c r="S132">
        <v>0.29546058896864208</v>
      </c>
      <c r="T132">
        <v>-4.8329362969244158E-2</v>
      </c>
      <c r="U132">
        <v>8.4969943589341623E-2</v>
      </c>
      <c r="V132">
        <v>0.2815412671689364</v>
      </c>
      <c r="W132">
        <v>0.15303198702985241</v>
      </c>
      <c r="X132">
        <v>0.23947080586058761</v>
      </c>
      <c r="Y132">
        <v>5.6877894630635292E-2</v>
      </c>
      <c r="Z132">
        <v>7.6807701575929976E-2</v>
      </c>
      <c r="AA132">
        <v>8.2491001387073049E-3</v>
      </c>
      <c r="AB132">
        <v>-5.7447261929242099E-2</v>
      </c>
      <c r="AC132">
        <v>-5.1944509518082951E-2</v>
      </c>
      <c r="AD132">
        <v>-6.4438011232055971E-5</v>
      </c>
      <c r="AE132">
        <v>-2.2041668695418661E-2</v>
      </c>
      <c r="AF132">
        <v>0.1022387084427822</v>
      </c>
      <c r="AG132">
        <v>0.16490583873432521</v>
      </c>
      <c r="AH132">
        <v>0.1228186263473606</v>
      </c>
      <c r="AI132">
        <v>-3.8809903171775517E-2</v>
      </c>
      <c r="AJ132">
        <v>0.1663688104729992</v>
      </c>
      <c r="AK132">
        <v>8.5874429425598947E-2</v>
      </c>
      <c r="AL132">
        <v>7.0166826258760973E-2</v>
      </c>
      <c r="AM132">
        <v>3.9748013182961242E-2</v>
      </c>
      <c r="AN132">
        <v>-1.230745630413472E-2</v>
      </c>
      <c r="AO132">
        <v>0.1681213718315529</v>
      </c>
      <c r="AP132">
        <v>-6.4950529443147484E-2</v>
      </c>
      <c r="AQ132">
        <v>-0.114134694183604</v>
      </c>
      <c r="AR132">
        <v>-3.5486240176144497E-2</v>
      </c>
      <c r="AS132">
        <v>0.14258330635019961</v>
      </c>
      <c r="AT132">
        <v>0.12981562561732901</v>
      </c>
      <c r="AU132">
        <v>6.7313871134392814E-2</v>
      </c>
      <c r="AV132">
        <v>-8.3915726251921896E-2</v>
      </c>
      <c r="AW132">
        <v>9.6092557042347218E-2</v>
      </c>
      <c r="AX132">
        <v>0.1130677459439238</v>
      </c>
    </row>
    <row r="133" spans="1:50" x14ac:dyDescent="0.25">
      <c r="A133">
        <v>-8.8644534660263563E-2</v>
      </c>
      <c r="B133">
        <v>0.1514900210751752</v>
      </c>
      <c r="C133">
        <v>-3.8953407772951143E-2</v>
      </c>
      <c r="D133">
        <v>1.442756791967667E-2</v>
      </c>
      <c r="E133">
        <v>0.14944762555925559</v>
      </c>
      <c r="F133">
        <v>0.14388719181151621</v>
      </c>
      <c r="G133">
        <v>-9.0085542193244814E-2</v>
      </c>
      <c r="H133">
        <v>-3.2311270912502833E-2</v>
      </c>
      <c r="I133">
        <v>0.2239816889057987</v>
      </c>
      <c r="J133">
        <v>0.1474205668195033</v>
      </c>
      <c r="K133">
        <v>3.8520394084758602E-2</v>
      </c>
      <c r="L133">
        <v>-9.5519930822334481E-2</v>
      </c>
      <c r="M133">
        <v>-8.0499557376550263E-2</v>
      </c>
      <c r="N133">
        <v>5.4048307269558282E-2</v>
      </c>
      <c r="O133">
        <v>0.2371082776831144</v>
      </c>
      <c r="P133">
        <v>-1.9036977834266819E-2</v>
      </c>
      <c r="Q133">
        <v>0.30863657334280947</v>
      </c>
      <c r="R133">
        <v>0.24719213042096491</v>
      </c>
      <c r="S133">
        <v>0.33973588871454652</v>
      </c>
      <c r="T133">
        <v>0.14070033488149139</v>
      </c>
      <c r="U133">
        <v>-0.1521426364529751</v>
      </c>
      <c r="V133">
        <v>-0.13536984425703319</v>
      </c>
      <c r="W133">
        <v>0.22642430540406999</v>
      </c>
      <c r="X133">
        <v>-0.106645602622526</v>
      </c>
      <c r="Y133">
        <v>0.18796800682522169</v>
      </c>
      <c r="Z133">
        <v>0.15674079334429999</v>
      </c>
      <c r="AA133">
        <v>3.8051500649215468E-2</v>
      </c>
      <c r="AB133">
        <v>-4.3468816764598489E-2</v>
      </c>
      <c r="AC133">
        <v>-6.3100212518833673E-2</v>
      </c>
      <c r="AD133">
        <v>0.2090580484182995</v>
      </c>
      <c r="AE133">
        <v>-4.4487293454368443E-2</v>
      </c>
      <c r="AF133">
        <v>-4.0125167634889679E-2</v>
      </c>
      <c r="AG133">
        <v>-0.13991156147802561</v>
      </c>
      <c r="AH133">
        <v>-0.15860934653926001</v>
      </c>
      <c r="AI133">
        <v>0.14563850534598499</v>
      </c>
      <c r="AJ133">
        <v>-5.0574931575505088E-3</v>
      </c>
      <c r="AK133">
        <v>-4.8364545634957352E-2</v>
      </c>
      <c r="AL133">
        <v>3.668771593474008E-2</v>
      </c>
      <c r="AM133">
        <v>-0.22128738518309979</v>
      </c>
      <c r="AN133">
        <v>-7.4366635469794804E-3</v>
      </c>
      <c r="AO133">
        <v>-3.3388151962956289E-2</v>
      </c>
      <c r="AP133">
        <v>-4.7410516860905277E-2</v>
      </c>
      <c r="AQ133">
        <v>-2.3309723906413411E-2</v>
      </c>
      <c r="AR133">
        <v>6.2695057684651178E-3</v>
      </c>
      <c r="AS133">
        <v>-8.3743563874567883E-3</v>
      </c>
      <c r="AT133">
        <v>5.533726240397141E-2</v>
      </c>
      <c r="AU133">
        <v>3.3409656113971078E-2</v>
      </c>
      <c r="AV133">
        <v>4.5521166002617637E-2</v>
      </c>
      <c r="AW133">
        <v>-4.0951602446120797E-2</v>
      </c>
      <c r="AX133">
        <v>0.15015309475280569</v>
      </c>
    </row>
    <row r="134" spans="1:50" x14ac:dyDescent="0.25">
      <c r="A134">
        <v>7.7763245475028039E-2</v>
      </c>
      <c r="B134">
        <v>3.0312103847182661E-2</v>
      </c>
      <c r="C134">
        <v>-3.0207787502865621E-3</v>
      </c>
      <c r="D134">
        <v>1.35545158744108E-2</v>
      </c>
      <c r="E134">
        <v>2.3542500284562191E-2</v>
      </c>
      <c r="F134">
        <v>0.16081108356651061</v>
      </c>
      <c r="G134">
        <v>4.6108673636057418E-2</v>
      </c>
      <c r="H134">
        <v>5.2880143338702827E-2</v>
      </c>
      <c r="I134">
        <v>0.13133978194190729</v>
      </c>
      <c r="J134">
        <v>0.30593987779916543</v>
      </c>
      <c r="K134">
        <v>0.29847323556375488</v>
      </c>
      <c r="L134">
        <v>0.35450922307469362</v>
      </c>
      <c r="M134">
        <v>0.17443950584120271</v>
      </c>
      <c r="N134">
        <v>-1.053294449533307E-2</v>
      </c>
      <c r="O134">
        <v>0.31147213375763427</v>
      </c>
      <c r="P134">
        <v>8.835645037344543E-2</v>
      </c>
      <c r="Q134">
        <v>-0.1829873229320042</v>
      </c>
      <c r="R134">
        <v>0.2334257945486139</v>
      </c>
      <c r="S134">
        <v>1.338330235693942E-2</v>
      </c>
      <c r="T134">
        <v>7.1290388655943004E-2</v>
      </c>
      <c r="U134">
        <v>0.2246538153618976</v>
      </c>
      <c r="V134">
        <v>5.3559643222333107E-2</v>
      </c>
      <c r="W134">
        <v>-3.8983164969784677E-2</v>
      </c>
      <c r="X134">
        <v>1.0278549876402769E-2</v>
      </c>
      <c r="Y134">
        <v>2.912907716400934E-3</v>
      </c>
      <c r="Z134">
        <v>9.2665861203012397E-4</v>
      </c>
      <c r="AA134">
        <v>-0.23902256169760561</v>
      </c>
      <c r="AB134">
        <v>-4.7521893660615773E-2</v>
      </c>
      <c r="AC134">
        <v>7.0458413602625627E-2</v>
      </c>
      <c r="AD134">
        <v>0.25769161836844412</v>
      </c>
      <c r="AE134">
        <v>6.8600810915664071E-2</v>
      </c>
      <c r="AF134">
        <v>4.9430029119225248E-2</v>
      </c>
      <c r="AG134">
        <v>4.6242378264589309E-2</v>
      </c>
      <c r="AH134">
        <v>-4.167411086577312E-2</v>
      </c>
      <c r="AI134">
        <v>5.3688268296686867E-2</v>
      </c>
      <c r="AJ134">
        <v>0.2061383054311075</v>
      </c>
      <c r="AK134">
        <v>-0.14394126637028321</v>
      </c>
      <c r="AL134">
        <v>0.10467101116853431</v>
      </c>
      <c r="AM134">
        <v>0.14554192801624391</v>
      </c>
      <c r="AN134">
        <v>0.3326823643030094</v>
      </c>
      <c r="AO134">
        <v>0.2037427368340661</v>
      </c>
      <c r="AP134">
        <v>0.1014233603529127</v>
      </c>
      <c r="AQ134">
        <v>0.12157544431307769</v>
      </c>
      <c r="AR134">
        <v>0.18102533524968981</v>
      </c>
      <c r="AS134">
        <v>-0.17121987398192509</v>
      </c>
      <c r="AT134">
        <v>5.4816523821871542E-2</v>
      </c>
      <c r="AU134">
        <v>6.7631208932155004E-2</v>
      </c>
      <c r="AV134">
        <v>8.8491860174432627E-2</v>
      </c>
      <c r="AW134">
        <v>8.3024979757954726E-2</v>
      </c>
      <c r="AX134">
        <v>-0.14294169589828479</v>
      </c>
    </row>
    <row r="135" spans="1:50" x14ac:dyDescent="0.25">
      <c r="A135">
        <v>7.2668234199425178E-3</v>
      </c>
      <c r="B135">
        <v>4.3180932906026627E-2</v>
      </c>
      <c r="C135">
        <v>-9.8525253696829344E-3</v>
      </c>
      <c r="D135">
        <v>2.659083508425051E-2</v>
      </c>
      <c r="E135">
        <v>3.0221258382080968E-2</v>
      </c>
      <c r="F135">
        <v>5.0287604916877268E-2</v>
      </c>
      <c r="G135">
        <v>7.0715317876996302E-3</v>
      </c>
      <c r="H135">
        <v>3.0419771730956558E-3</v>
      </c>
      <c r="I135">
        <v>2.9797299285857981E-3</v>
      </c>
      <c r="J135">
        <v>3.9291314706830421E-2</v>
      </c>
      <c r="K135">
        <v>4.3557715545512583E-2</v>
      </c>
      <c r="L135">
        <v>-1.5277294362967909E-2</v>
      </c>
      <c r="M135">
        <v>2.1286429017423971E-2</v>
      </c>
      <c r="N135">
        <v>5.331680304499458E-2</v>
      </c>
      <c r="O135">
        <v>7.2371076188140954E-2</v>
      </c>
      <c r="P135">
        <v>1.5657301116240259E-2</v>
      </c>
      <c r="Q135">
        <v>6.2482187541623498E-2</v>
      </c>
      <c r="R135">
        <v>3.8987987980681933E-2</v>
      </c>
      <c r="S135">
        <v>1.7733846294400221E-2</v>
      </c>
      <c r="T135">
        <v>9.3368698941604256E-3</v>
      </c>
      <c r="U135">
        <v>2.606236025997161E-2</v>
      </c>
      <c r="V135">
        <v>5.7907275637384438E-2</v>
      </c>
      <c r="W135">
        <v>3.6537218366268213E-2</v>
      </c>
      <c r="X135">
        <v>1.967216545180252E-3</v>
      </c>
      <c r="Y135">
        <v>9.2346906249928376E-2</v>
      </c>
      <c r="Z135">
        <v>2.518329366069719E-2</v>
      </c>
      <c r="AA135">
        <v>4.0145680339098613E-2</v>
      </c>
      <c r="AB135">
        <v>1.3579674587394321E-2</v>
      </c>
      <c r="AC135">
        <v>1.201129706727156E-2</v>
      </c>
      <c r="AD135">
        <v>2.1895937558551581E-2</v>
      </c>
      <c r="AE135">
        <v>3.4702392317196178E-2</v>
      </c>
      <c r="AF135">
        <v>-1.437788873182369E-2</v>
      </c>
      <c r="AG135">
        <v>4.0345756985698707E-2</v>
      </c>
      <c r="AH135">
        <v>1.10827875870491E-2</v>
      </c>
      <c r="AI135">
        <v>2.6737662346257289E-2</v>
      </c>
      <c r="AJ135">
        <v>4.5028654779133259E-2</v>
      </c>
      <c r="AK135">
        <v>9.8576445290018012E-4</v>
      </c>
      <c r="AL135">
        <v>3.3338812224641308E-2</v>
      </c>
      <c r="AM135">
        <v>4.5850279873681822E-2</v>
      </c>
      <c r="AN135">
        <v>3.3548308032596251E-3</v>
      </c>
      <c r="AO135">
        <v>-6.1469927267591411E-3</v>
      </c>
      <c r="AP135">
        <v>-2.9714264525903832E-2</v>
      </c>
      <c r="AQ135">
        <v>1.4333344514373609E-2</v>
      </c>
      <c r="AR135">
        <v>3.2669325449721502E-2</v>
      </c>
      <c r="AS135">
        <v>2.6290976123345491E-2</v>
      </c>
      <c r="AT135">
        <v>6.2371232270531148E-3</v>
      </c>
      <c r="AU135">
        <v>4.6323532850510073E-2</v>
      </c>
      <c r="AV135">
        <v>3.6344390191777022E-2</v>
      </c>
      <c r="AW135">
        <v>3.5051024017998728E-2</v>
      </c>
      <c r="AX135">
        <v>1.7185785329187311E-2</v>
      </c>
    </row>
    <row r="136" spans="1:50" x14ac:dyDescent="0.25">
      <c r="A136">
        <v>1.871886529071207E-2</v>
      </c>
      <c r="B136">
        <v>6.9925623756553146E-2</v>
      </c>
      <c r="C136">
        <v>-7.311324480886441E-3</v>
      </c>
      <c r="D136">
        <v>4.7376954129088343E-2</v>
      </c>
      <c r="E136">
        <v>1.431630217290366E-2</v>
      </c>
      <c r="F136">
        <v>3.6796966533641562E-2</v>
      </c>
      <c r="G136">
        <v>2.1820462864945971E-2</v>
      </c>
      <c r="H136">
        <v>2.9826464198846889E-3</v>
      </c>
      <c r="I136">
        <v>-2.2926047444975631E-2</v>
      </c>
      <c r="J136">
        <v>5.9058602058991161E-2</v>
      </c>
      <c r="K136">
        <v>3.6551098042767273E-2</v>
      </c>
      <c r="L136">
        <v>-1.338564394745463E-2</v>
      </c>
      <c r="M136">
        <v>3.290761246583581E-2</v>
      </c>
      <c r="N136">
        <v>2.7574778122208099E-2</v>
      </c>
      <c r="O136">
        <v>8.8394327356621172E-2</v>
      </c>
      <c r="P136">
        <v>6.5728488250810832E-2</v>
      </c>
      <c r="Q136">
        <v>5.9511019503376818E-2</v>
      </c>
      <c r="R136">
        <v>7.742694531615088E-2</v>
      </c>
      <c r="S136">
        <v>3.0059758370440112E-2</v>
      </c>
      <c r="T136">
        <v>3.5158686100994603E-2</v>
      </c>
      <c r="U136">
        <v>3.7242122396662303E-2</v>
      </c>
      <c r="V136">
        <v>6.5944519948460234E-2</v>
      </c>
      <c r="W136">
        <v>3.3855523473290211E-2</v>
      </c>
      <c r="X136">
        <v>-1.5299061757409971E-2</v>
      </c>
      <c r="Y136">
        <v>9.4155145404999557E-2</v>
      </c>
      <c r="Z136">
        <v>5.6078410247787723E-2</v>
      </c>
      <c r="AA136">
        <v>6.9514365558201549E-2</v>
      </c>
      <c r="AB136">
        <v>4.7538897527526887E-2</v>
      </c>
      <c r="AC136">
        <v>9.080429705476482E-3</v>
      </c>
      <c r="AD136">
        <v>1.6937403590069891E-3</v>
      </c>
      <c r="AE136">
        <v>7.1518056072669631E-2</v>
      </c>
      <c r="AF136">
        <v>2.637088255424436E-2</v>
      </c>
      <c r="AG136">
        <v>5.4742997390985232E-2</v>
      </c>
      <c r="AH136">
        <v>9.4710222212931496E-3</v>
      </c>
      <c r="AI136">
        <v>3.6533425087280559E-2</v>
      </c>
      <c r="AJ136">
        <v>6.5166449350005998E-2</v>
      </c>
      <c r="AK136">
        <v>-9.5425034183241435E-3</v>
      </c>
      <c r="AL136">
        <v>4.3631231636197372E-2</v>
      </c>
      <c r="AM136">
        <v>2.9116736509868579E-2</v>
      </c>
      <c r="AN136">
        <v>1.8940010591025219E-2</v>
      </c>
      <c r="AO136">
        <v>4.6376420501985319E-3</v>
      </c>
      <c r="AP136">
        <v>-3.5106171096742703E-2</v>
      </c>
      <c r="AQ136">
        <v>2.786760646611822E-2</v>
      </c>
      <c r="AR136">
        <v>4.6800532611386059E-2</v>
      </c>
      <c r="AS136">
        <v>4.7541637885611623E-2</v>
      </c>
      <c r="AT136">
        <v>2.3231870610296131E-2</v>
      </c>
      <c r="AU136">
        <v>5.5280998741099333E-2</v>
      </c>
      <c r="AV136">
        <v>4.2133254305970411E-2</v>
      </c>
      <c r="AW136">
        <v>4.6065894700198742E-2</v>
      </c>
      <c r="AX136">
        <v>1.6781621812828811E-2</v>
      </c>
    </row>
    <row r="137" spans="1:50" x14ac:dyDescent="0.25">
      <c r="A137">
        <v>9.5751399979924712E-2</v>
      </c>
      <c r="B137">
        <v>-0.1197094189071537</v>
      </c>
      <c r="C137">
        <v>-0.21418699862445439</v>
      </c>
      <c r="D137">
        <v>-0.1223458772862486</v>
      </c>
      <c r="E137">
        <v>-0.20326843429603109</v>
      </c>
      <c r="F137">
        <v>8.9443172915166708E-2</v>
      </c>
      <c r="G137">
        <v>0.2144309751911927</v>
      </c>
      <c r="H137">
        <v>-0.2080364889106143</v>
      </c>
      <c r="I137">
        <v>0.1353848335352644</v>
      </c>
      <c r="J137">
        <v>0.24986318574990629</v>
      </c>
      <c r="K137">
        <v>8.6177707123840847E-2</v>
      </c>
      <c r="L137">
        <v>-0.1335427231252842</v>
      </c>
      <c r="M137">
        <v>0.21030135428214519</v>
      </c>
      <c r="N137">
        <v>0.59691122638414074</v>
      </c>
      <c r="O137">
        <v>4.9525596924292772E-2</v>
      </c>
      <c r="P137">
        <v>-8.7798163316103017E-2</v>
      </c>
      <c r="Q137">
        <v>-0.20026315370757111</v>
      </c>
      <c r="R137">
        <v>5.6900278546278549E-2</v>
      </c>
      <c r="S137">
        <v>-3.8826121191585683E-2</v>
      </c>
      <c r="T137">
        <v>-0.1211697933806576</v>
      </c>
      <c r="U137">
        <v>0.54563118610967598</v>
      </c>
      <c r="V137">
        <v>-5.7167826454856512E-2</v>
      </c>
      <c r="W137">
        <v>0.14081619684938579</v>
      </c>
      <c r="X137">
        <v>-1.8628776898139521E-2</v>
      </c>
      <c r="Y137">
        <v>1.628890549792782E-2</v>
      </c>
      <c r="Z137">
        <v>8.1200901323141856E-3</v>
      </c>
      <c r="AA137">
        <v>3.255473010051501E-2</v>
      </c>
      <c r="AB137">
        <v>-9.5085242879726681E-2</v>
      </c>
      <c r="AC137">
        <v>0.1146136506322495</v>
      </c>
      <c r="AD137">
        <v>-0.1876268697471685</v>
      </c>
      <c r="AE137">
        <v>-0.2219101912812402</v>
      </c>
      <c r="AF137">
        <v>-7.968733418116121E-2</v>
      </c>
      <c r="AG137">
        <v>0.14921359385733601</v>
      </c>
      <c r="AH137">
        <v>-0.18326944116019081</v>
      </c>
      <c r="AI137">
        <v>1.6837806908853181E-2</v>
      </c>
      <c r="AJ137">
        <v>1.10371877394769E-2</v>
      </c>
      <c r="AK137">
        <v>-5.4352422683696083E-2</v>
      </c>
      <c r="AL137">
        <v>-6.3230017373419961E-2</v>
      </c>
      <c r="AM137">
        <v>0.25044400406389178</v>
      </c>
      <c r="AN137">
        <v>-1.8103702753501309E-2</v>
      </c>
      <c r="AO137">
        <v>0.27466092133152142</v>
      </c>
      <c r="AP137">
        <v>-0.2152779223847883</v>
      </c>
      <c r="AQ137">
        <v>0.33529630639652458</v>
      </c>
      <c r="AR137">
        <v>-4.8786391811268892E-3</v>
      </c>
      <c r="AS137">
        <v>0.13550045796196239</v>
      </c>
      <c r="AT137">
        <v>4.4017162905403209E-2</v>
      </c>
      <c r="AU137">
        <v>-0.21087453875940629</v>
      </c>
      <c r="AV137">
        <v>-1.1691074684221609E-2</v>
      </c>
      <c r="AW137">
        <v>0.1211657849510077</v>
      </c>
      <c r="AX137">
        <v>-0.14428562481890689</v>
      </c>
    </row>
    <row r="138" spans="1:50" x14ac:dyDescent="0.25">
      <c r="A138">
        <v>-1.395695570342614E-2</v>
      </c>
      <c r="B138">
        <v>2.617906382278842E-2</v>
      </c>
      <c r="C138">
        <v>-3.9063047156678906E-3</v>
      </c>
      <c r="D138">
        <v>-3.1805637670392051E-3</v>
      </c>
      <c r="E138">
        <v>2.730720800254241E-2</v>
      </c>
      <c r="F138">
        <v>2.3762022656369938E-2</v>
      </c>
      <c r="G138">
        <v>1.3696651402485979E-2</v>
      </c>
      <c r="H138">
        <v>-8.3755499955866508E-3</v>
      </c>
      <c r="I138">
        <v>5.1072941141466939E-2</v>
      </c>
      <c r="J138">
        <v>1.2059887735399861E-2</v>
      </c>
      <c r="K138">
        <v>4.9623938243637991E-2</v>
      </c>
      <c r="L138">
        <v>-1.44414254854782E-2</v>
      </c>
      <c r="M138">
        <v>1.4425186272335711E-2</v>
      </c>
      <c r="N138">
        <v>1.5101937347582301E-2</v>
      </c>
      <c r="O138">
        <v>3.7497722893031403E-2</v>
      </c>
      <c r="P138">
        <v>1.1215497083746121E-2</v>
      </c>
      <c r="Q138">
        <v>3.3120986548874201E-2</v>
      </c>
      <c r="R138">
        <v>2.7714756725101281E-2</v>
      </c>
      <c r="S138">
        <v>1.215118853797793E-2</v>
      </c>
      <c r="T138">
        <v>8.6993639146033721E-3</v>
      </c>
      <c r="U138">
        <v>1.364652023660287E-2</v>
      </c>
      <c r="V138">
        <v>1.5577586354697699E-2</v>
      </c>
      <c r="W138">
        <v>3.2023882117104698E-2</v>
      </c>
      <c r="X138">
        <v>1.590539975807494E-2</v>
      </c>
      <c r="Y138">
        <v>1.5202297472054061E-2</v>
      </c>
      <c r="Z138">
        <v>2.1847335335590429E-2</v>
      </c>
      <c r="AA138">
        <v>-2.198744195330609E-2</v>
      </c>
      <c r="AB138">
        <v>8.1965252250342704E-3</v>
      </c>
      <c r="AC138">
        <v>-7.520369199780841E-3</v>
      </c>
      <c r="AD138">
        <v>-8.3070312539200927E-3</v>
      </c>
      <c r="AE138">
        <v>1.9372272862390731E-2</v>
      </c>
      <c r="AF138">
        <v>1.3251299876882261E-2</v>
      </c>
      <c r="AG138">
        <v>-1.544403974663548E-3</v>
      </c>
      <c r="AH138">
        <v>4.6352798536360368E-3</v>
      </c>
      <c r="AI138">
        <v>2.4121488927560799E-2</v>
      </c>
      <c r="AJ138">
        <v>6.0133949705208543E-2</v>
      </c>
      <c r="AK138">
        <v>5.424586159792231E-3</v>
      </c>
      <c r="AL138">
        <v>1.8271927243639661E-2</v>
      </c>
      <c r="AM138">
        <v>5.9288431047157163E-2</v>
      </c>
      <c r="AN138">
        <v>-4.7842245239079571E-3</v>
      </c>
      <c r="AO138">
        <v>-7.4691602110478102E-3</v>
      </c>
      <c r="AP138">
        <v>2.6956161030148831E-2</v>
      </c>
      <c r="AQ138">
        <v>5.6338271339150557E-2</v>
      </c>
      <c r="AR138">
        <v>3.2830191010665442E-2</v>
      </c>
      <c r="AS138">
        <v>3.7639597869417271E-2</v>
      </c>
      <c r="AT138">
        <v>5.1950565490067819E-3</v>
      </c>
      <c r="AU138">
        <v>2.6385887680198821E-2</v>
      </c>
      <c r="AV138">
        <v>2.682712770177114E-2</v>
      </c>
      <c r="AW138">
        <v>4.0590246804346468E-2</v>
      </c>
      <c r="AX138">
        <v>1.6826176583761371E-2</v>
      </c>
    </row>
    <row r="139" spans="1:50" x14ac:dyDescent="0.25">
      <c r="A139">
        <v>5.321040563361263E-2</v>
      </c>
      <c r="B139">
        <v>5.4787356817732488E-2</v>
      </c>
      <c r="C139">
        <v>-2.8469293239124172E-2</v>
      </c>
      <c r="D139">
        <v>2.4756668446764669E-2</v>
      </c>
      <c r="E139">
        <v>-1.0097909524272541E-2</v>
      </c>
      <c r="F139">
        <v>2.078739921222671E-2</v>
      </c>
      <c r="G139">
        <v>1.3696651442506209E-2</v>
      </c>
      <c r="H139">
        <v>1.181085717413646E-2</v>
      </c>
      <c r="I139">
        <v>-1.717608394443098E-2</v>
      </c>
      <c r="J139">
        <v>1.1885516472597019E-2</v>
      </c>
      <c r="K139">
        <v>1.6402042625339151E-2</v>
      </c>
      <c r="L139">
        <v>-1.376651282506945E-2</v>
      </c>
      <c r="M139">
        <v>3.0632148692713052E-2</v>
      </c>
      <c r="N139">
        <v>1.508862457123929E-2</v>
      </c>
      <c r="O139">
        <v>2.794886141982892E-2</v>
      </c>
      <c r="P139">
        <v>1.12524604986787E-2</v>
      </c>
      <c r="Q139">
        <v>7.3745169328154211E-2</v>
      </c>
      <c r="R139">
        <v>3.2097014164531257E-2</v>
      </c>
      <c r="S139">
        <v>8.4095000190379087E-3</v>
      </c>
      <c r="T139">
        <v>9.2328477113317424E-3</v>
      </c>
      <c r="U139">
        <v>4.3505537410062127E-2</v>
      </c>
      <c r="V139">
        <v>2.172995615503405E-2</v>
      </c>
      <c r="W139">
        <v>1.7408887422496369E-2</v>
      </c>
      <c r="X139">
        <v>-6.1634812016006253E-4</v>
      </c>
      <c r="Y139">
        <v>2.1853859814206761E-2</v>
      </c>
      <c r="Z139">
        <v>5.5447490442048643E-2</v>
      </c>
      <c r="AA139">
        <v>-1.76860782011325E-3</v>
      </c>
      <c r="AB139">
        <v>8.1965646741504264E-3</v>
      </c>
      <c r="AC139">
        <v>5.6070633975545906E-3</v>
      </c>
      <c r="AD139">
        <v>2.4021057268755041E-2</v>
      </c>
      <c r="AE139">
        <v>4.2696566461470999E-2</v>
      </c>
      <c r="AF139">
        <v>-1.0650421201025049E-2</v>
      </c>
      <c r="AG139">
        <v>3.9204192671559931E-3</v>
      </c>
      <c r="AH139">
        <v>9.6743526471767486E-3</v>
      </c>
      <c r="AI139">
        <v>2.2433250784717581E-2</v>
      </c>
      <c r="AJ139">
        <v>4.0782934418660807E-2</v>
      </c>
      <c r="AK139">
        <v>5.3945716609998792E-2</v>
      </c>
      <c r="AL139">
        <v>1.8082512075448139E-2</v>
      </c>
      <c r="AM139">
        <v>1.209186185462221E-2</v>
      </c>
      <c r="AN139">
        <v>1.506641645202211E-2</v>
      </c>
      <c r="AO139">
        <v>3.3048918260234747E-2</v>
      </c>
      <c r="AP139">
        <v>6.6144776074907423E-3</v>
      </c>
      <c r="AQ139">
        <v>-3.1105895338512301E-3</v>
      </c>
      <c r="AR139">
        <v>3.3334996743514873E-2</v>
      </c>
      <c r="AS139">
        <v>2.4508184859139689E-2</v>
      </c>
      <c r="AT139">
        <v>5.104578872239033E-3</v>
      </c>
      <c r="AU139">
        <v>4.5388153773029398E-2</v>
      </c>
      <c r="AV139">
        <v>5.395514500876207E-2</v>
      </c>
      <c r="AW139">
        <v>1.858886310062903E-2</v>
      </c>
      <c r="AX139">
        <v>-2.8542920657905511E-2</v>
      </c>
    </row>
    <row r="140" spans="1:50" x14ac:dyDescent="0.25">
      <c r="A140">
        <v>-3.2327385453511603E-2</v>
      </c>
      <c r="B140">
        <v>-0.1987514015781584</v>
      </c>
      <c r="C140">
        <v>-0.21975122228222119</v>
      </c>
      <c r="D140">
        <v>-0.17948070058238469</v>
      </c>
      <c r="E140">
        <v>0.14224867486765561</v>
      </c>
      <c r="F140">
        <v>7.4042300418792353E-2</v>
      </c>
      <c r="G140">
        <v>0.55389288013879834</v>
      </c>
      <c r="H140">
        <v>-0.25531818086155789</v>
      </c>
      <c r="I140">
        <v>-0.24479955379814011</v>
      </c>
      <c r="J140">
        <v>0.21614088888683139</v>
      </c>
      <c r="K140">
        <v>-2.6103048613536139E-2</v>
      </c>
      <c r="L140">
        <v>0.25829736296781941</v>
      </c>
      <c r="M140">
        <v>0.38748106012475958</v>
      </c>
      <c r="N140">
        <v>-0.20914849376661879</v>
      </c>
      <c r="O140">
        <v>0.2999187421370782</v>
      </c>
      <c r="P140">
        <v>-0.1717398118859654</v>
      </c>
      <c r="Q140">
        <v>-0.39522372124684912</v>
      </c>
      <c r="R140">
        <v>-4.8529326713091313E-2</v>
      </c>
      <c r="S140">
        <v>0.22736708149922399</v>
      </c>
      <c r="T140">
        <v>-8.3644842233180829E-3</v>
      </c>
      <c r="U140">
        <v>-0.19328255600958499</v>
      </c>
      <c r="V140">
        <v>0.16737238109754221</v>
      </c>
      <c r="W140">
        <v>-0.13843451236845769</v>
      </c>
      <c r="X140">
        <v>-0.29368620347408719</v>
      </c>
      <c r="Y140">
        <v>-0.179422329529978</v>
      </c>
      <c r="Z140">
        <v>-0.56290165550706794</v>
      </c>
      <c r="AA140">
        <v>-0.62000020756129171</v>
      </c>
      <c r="AB140">
        <v>7.7447807658614642E-2</v>
      </c>
      <c r="AC140">
        <v>0.11985475958166129</v>
      </c>
      <c r="AD140">
        <v>-0.16499656752100861</v>
      </c>
      <c r="AE140">
        <v>7.3922449618474037E-2</v>
      </c>
      <c r="AF140">
        <v>-0.1443072716465236</v>
      </c>
      <c r="AG140">
        <v>-0.2828514777046035</v>
      </c>
      <c r="AH140">
        <v>0.25245624668478622</v>
      </c>
      <c r="AI140">
        <v>-0.53225573547467009</v>
      </c>
      <c r="AJ140">
        <v>0.2058950417795932</v>
      </c>
      <c r="AK140">
        <v>0.124705163511691</v>
      </c>
      <c r="AL140">
        <v>0.29658737340906483</v>
      </c>
      <c r="AM140">
        <v>-0.14657135921206441</v>
      </c>
      <c r="AN140">
        <v>2.977148291940011E-2</v>
      </c>
      <c r="AO140">
        <v>-0.14020106043597061</v>
      </c>
      <c r="AP140">
        <v>-0.21732000594491591</v>
      </c>
      <c r="AQ140">
        <v>0.40557468329802088</v>
      </c>
      <c r="AR140">
        <v>-0.28819929294286051</v>
      </c>
      <c r="AS140">
        <v>0.25386808859680299</v>
      </c>
      <c r="AT140">
        <v>5.016051172433298E-2</v>
      </c>
      <c r="AU140">
        <v>-0.24582416749187641</v>
      </c>
      <c r="AV140">
        <v>0.22513905762130501</v>
      </c>
      <c r="AW140">
        <v>0.1537859963758956</v>
      </c>
      <c r="AX140">
        <v>0.42342651289590771</v>
      </c>
    </row>
    <row r="141" spans="1:50" x14ac:dyDescent="0.25">
      <c r="A141">
        <v>-4.1478487493196978E-2</v>
      </c>
      <c r="B141">
        <v>-0.1180845702701814</v>
      </c>
      <c r="C141">
        <v>9.2687612022536281E-2</v>
      </c>
      <c r="D141">
        <v>1.219008224977982E-2</v>
      </c>
      <c r="E141">
        <v>0.15857613115485189</v>
      </c>
      <c r="F141">
        <v>1.6839292468340799E-2</v>
      </c>
      <c r="G141">
        <v>1.033594668105588E-2</v>
      </c>
      <c r="H141">
        <v>9.2896359910156559E-2</v>
      </c>
      <c r="I141">
        <v>-0.17219060695637139</v>
      </c>
      <c r="J141">
        <v>0.1337406180794021</v>
      </c>
      <c r="K141">
        <v>1.2013515462240601E-2</v>
      </c>
      <c r="L141">
        <v>2.693253619864535E-2</v>
      </c>
      <c r="M141">
        <v>-9.0734769490861386E-2</v>
      </c>
      <c r="N141">
        <v>0.12038473528566</v>
      </c>
      <c r="O141">
        <v>-0.101125736818723</v>
      </c>
      <c r="P141">
        <v>-0.1167654458615605</v>
      </c>
      <c r="Q141">
        <v>0.1221241301251675</v>
      </c>
      <c r="R141">
        <v>3.7167098016772449E-3</v>
      </c>
      <c r="S141">
        <v>-8.0324469346321176E-2</v>
      </c>
      <c r="T141">
        <v>0.16006142318015831</v>
      </c>
      <c r="U141">
        <v>0.14850812010735109</v>
      </c>
      <c r="V141">
        <v>0.22417088841162369</v>
      </c>
      <c r="W141">
        <v>0.1615112631413558</v>
      </c>
      <c r="X141">
        <v>-0.1978296107404359</v>
      </c>
      <c r="Y141">
        <v>0.20470170799108889</v>
      </c>
      <c r="Z141">
        <v>0.16915954778943901</v>
      </c>
      <c r="AA141">
        <v>-7.0101633429609719E-2</v>
      </c>
      <c r="AB141">
        <v>-6.9155206184986374E-3</v>
      </c>
      <c r="AC141">
        <v>3.9656158427334581E-2</v>
      </c>
      <c r="AD141">
        <v>-0.16228158060610551</v>
      </c>
      <c r="AE141">
        <v>0.12114198252486399</v>
      </c>
      <c r="AF141">
        <v>0.1099433312578056</v>
      </c>
      <c r="AG141">
        <v>4.0535000950006062E-2</v>
      </c>
      <c r="AH141">
        <v>7.6501436962341449E-2</v>
      </c>
      <c r="AI141">
        <v>0.32904255221217549</v>
      </c>
      <c r="AJ141">
        <v>-2.7374645506566282E-2</v>
      </c>
      <c r="AK141">
        <v>-0.22252127849196721</v>
      </c>
      <c r="AL141">
        <v>-0.16004821092504209</v>
      </c>
      <c r="AM141">
        <v>0.29960385844515169</v>
      </c>
      <c r="AN141">
        <v>8.9563753197901649E-2</v>
      </c>
      <c r="AO141">
        <v>0.20671989338842231</v>
      </c>
      <c r="AP141">
        <v>0.11674972546587251</v>
      </c>
      <c r="AQ141">
        <v>0.23828409705684209</v>
      </c>
      <c r="AR141">
        <v>0.12777150156281269</v>
      </c>
      <c r="AS141">
        <v>-0.11611027648890659</v>
      </c>
      <c r="AT141">
        <v>0.16730536215836789</v>
      </c>
      <c r="AU141">
        <v>-0.16492630780882839</v>
      </c>
      <c r="AV141">
        <v>0.33871309135634042</v>
      </c>
      <c r="AW141">
        <v>-5.0715096865311511E-2</v>
      </c>
      <c r="AX141">
        <v>-0.19282002919290719</v>
      </c>
    </row>
    <row r="142" spans="1:50" x14ac:dyDescent="0.25">
      <c r="A142">
        <v>0.1529709987537389</v>
      </c>
      <c r="B142">
        <v>-4.1900562211075139E-2</v>
      </c>
      <c r="C142">
        <v>-4.832616920517907E-2</v>
      </c>
      <c r="D142">
        <v>-0.1403165436978962</v>
      </c>
      <c r="E142">
        <v>-6.8596245219636365E-2</v>
      </c>
      <c r="F142">
        <v>-0.23707657775619001</v>
      </c>
      <c r="G142">
        <v>2.5465563719588118E-2</v>
      </c>
      <c r="H142">
        <v>-3.7467498486046441E-2</v>
      </c>
      <c r="I142">
        <v>-9.2457509038280983E-2</v>
      </c>
      <c r="J142">
        <v>0.32876063438587322</v>
      </c>
      <c r="K142">
        <v>-0.1852788800499367</v>
      </c>
      <c r="L142">
        <v>-0.14453659009710321</v>
      </c>
      <c r="M142">
        <v>0.15094033192334261</v>
      </c>
      <c r="N142">
        <v>9.9783304525195737E-2</v>
      </c>
      <c r="O142">
        <v>-0.1906315937765227</v>
      </c>
      <c r="P142">
        <v>-0.1170575268410822</v>
      </c>
      <c r="Q142">
        <v>-0.1209713704136791</v>
      </c>
      <c r="R142">
        <v>0.1057838126599816</v>
      </c>
      <c r="S142">
        <v>-0.27324810535506949</v>
      </c>
      <c r="T142">
        <v>-3.2909118896470788E-2</v>
      </c>
      <c r="U142">
        <v>0.10595434603252631</v>
      </c>
      <c r="V142">
        <v>0.1218331765178693</v>
      </c>
      <c r="W142">
        <v>-0.1550048048290803</v>
      </c>
      <c r="X142">
        <v>-1.183164904777077E-2</v>
      </c>
      <c r="Y142">
        <v>-0.1617528999894963</v>
      </c>
      <c r="Z142">
        <v>2.2287731831790229E-2</v>
      </c>
      <c r="AA142">
        <v>-9.8493541467334231E-2</v>
      </c>
      <c r="AB142">
        <v>-0.17596603706717659</v>
      </c>
      <c r="AC142">
        <v>-5.4401833448271951E-2</v>
      </c>
      <c r="AD142">
        <v>-0.29759226497826102</v>
      </c>
      <c r="AE142">
        <v>0.14108127268404269</v>
      </c>
      <c r="AF142">
        <v>3.6909220145237287E-2</v>
      </c>
      <c r="AG142">
        <v>0.20708483686234749</v>
      </c>
      <c r="AH142">
        <v>7.2789250006940975E-2</v>
      </c>
      <c r="AI142">
        <v>7.1789694025704662E-2</v>
      </c>
      <c r="AJ142">
        <v>-3.047532267080981E-2</v>
      </c>
      <c r="AK142">
        <v>-9.2118837730750622E-2</v>
      </c>
      <c r="AL142">
        <v>0.17518435929342829</v>
      </c>
      <c r="AM142">
        <v>0.13465439265932169</v>
      </c>
      <c r="AN142">
        <v>-0.1233318746853564</v>
      </c>
      <c r="AO142">
        <v>7.3718471312297085E-2</v>
      </c>
      <c r="AP142">
        <v>9.3615049161493283E-2</v>
      </c>
      <c r="AQ142">
        <v>-0.1551798439093563</v>
      </c>
      <c r="AR142">
        <v>-1.8607576679858032E-2</v>
      </c>
      <c r="AS142">
        <v>0.36996915999981428</v>
      </c>
      <c r="AT142">
        <v>-8.0462896780365348E-2</v>
      </c>
      <c r="AU142">
        <v>0.15228011640050129</v>
      </c>
      <c r="AV142">
        <v>2.7955439819832738E-2</v>
      </c>
      <c r="AW142">
        <v>-0.2328247106967444</v>
      </c>
      <c r="AX142">
        <v>0.15995260771296729</v>
      </c>
    </row>
    <row r="143" spans="1:50" x14ac:dyDescent="0.25">
      <c r="A143">
        <v>-9.7945772724958528E-3</v>
      </c>
      <c r="B143">
        <v>1.638557121973707E-2</v>
      </c>
      <c r="C143">
        <v>3.0622413111174369E-2</v>
      </c>
      <c r="D143">
        <v>3.184571526440947E-2</v>
      </c>
      <c r="E143">
        <v>5.0454818466504077E-2</v>
      </c>
      <c r="F143">
        <v>5.3010989861934803E-2</v>
      </c>
      <c r="G143">
        <v>2.3293975310366168E-2</v>
      </c>
      <c r="H143">
        <v>-4.7225246477172658E-3</v>
      </c>
      <c r="I143">
        <v>5.6532504607344311E-2</v>
      </c>
      <c r="J143">
        <v>-6.5597077851048792E-3</v>
      </c>
      <c r="K143">
        <v>8.3867839041742928E-2</v>
      </c>
      <c r="L143">
        <v>-2.5559797328458089E-2</v>
      </c>
      <c r="M143">
        <v>6.9372045064054078E-3</v>
      </c>
      <c r="N143">
        <v>2.695211496799009E-2</v>
      </c>
      <c r="O143">
        <v>7.7051655002154981E-2</v>
      </c>
      <c r="P143">
        <v>1.842688945549931E-2</v>
      </c>
      <c r="Q143">
        <v>4.4726801934926258E-2</v>
      </c>
      <c r="R143">
        <v>3.1205873137688418E-3</v>
      </c>
      <c r="S143">
        <v>5.0695890453396911E-2</v>
      </c>
      <c r="T143">
        <v>5.3920412892062538E-3</v>
      </c>
      <c r="U143">
        <v>-4.7634539600969273E-3</v>
      </c>
      <c r="V143">
        <v>1.5498198917665299E-2</v>
      </c>
      <c r="W143">
        <v>4.4101342326148603E-2</v>
      </c>
      <c r="X143">
        <v>6.4378409331858691E-3</v>
      </c>
      <c r="Y143">
        <v>9.3649780940163584E-3</v>
      </c>
      <c r="Z143">
        <v>4.8754703929744132E-2</v>
      </c>
      <c r="AA143">
        <v>3.3153073402577282E-2</v>
      </c>
      <c r="AB143">
        <v>-3.1159269173078361E-2</v>
      </c>
      <c r="AC143">
        <v>-2.4392210214687991E-2</v>
      </c>
      <c r="AD143">
        <v>4.2694616285741532E-2</v>
      </c>
      <c r="AE143">
        <v>4.7064120329292688E-3</v>
      </c>
      <c r="AF143">
        <v>4.7356049238622473E-2</v>
      </c>
      <c r="AG143">
        <v>1.9281174814382081E-2</v>
      </c>
      <c r="AH143">
        <v>5.1107587459728841E-3</v>
      </c>
      <c r="AI143">
        <v>3.5630558283627947E-2</v>
      </c>
      <c r="AJ143">
        <v>0.1069213040609594</v>
      </c>
      <c r="AK143">
        <v>1.190831650688088E-2</v>
      </c>
      <c r="AL143">
        <v>6.9722305193470363E-2</v>
      </c>
      <c r="AM143">
        <v>0.10890969030511061</v>
      </c>
      <c r="AN143">
        <v>-1.8707411416760349E-2</v>
      </c>
      <c r="AO143">
        <v>-1.680465314114786E-2</v>
      </c>
      <c r="AP143">
        <v>-2.522871359832949E-2</v>
      </c>
      <c r="AQ143">
        <v>0.12846732113135309</v>
      </c>
      <c r="AR143">
        <v>4.6193474488083877E-2</v>
      </c>
      <c r="AS143">
        <v>3.5153434227521901E-2</v>
      </c>
      <c r="AT143">
        <v>-1.1419428867649911E-2</v>
      </c>
      <c r="AU143">
        <v>2.393165918824789E-2</v>
      </c>
      <c r="AV143">
        <v>2.3909537703408989E-2</v>
      </c>
      <c r="AW143">
        <v>6.2299980475687702E-2</v>
      </c>
      <c r="AX143">
        <v>1.282501185019885E-2</v>
      </c>
    </row>
    <row r="144" spans="1:50" x14ac:dyDescent="0.25">
      <c r="A144">
        <v>0.20211334474479231</v>
      </c>
      <c r="B144">
        <v>-8.6242573636014334E-3</v>
      </c>
      <c r="C144">
        <v>6.5394804629098843E-2</v>
      </c>
      <c r="D144">
        <v>-0.1159523403508896</v>
      </c>
      <c r="E144">
        <v>0.20471757476058819</v>
      </c>
      <c r="F144">
        <v>0.14811725822565219</v>
      </c>
      <c r="G144">
        <v>0.34707029507354858</v>
      </c>
      <c r="H144">
        <v>0.40168475417324501</v>
      </c>
      <c r="I144">
        <v>0.17868970858097019</v>
      </c>
      <c r="J144">
        <v>6.6003419499580926E-2</v>
      </c>
      <c r="K144">
        <v>-9.8719522202461094E-2</v>
      </c>
      <c r="L144">
        <v>3.1572487336973543E-2</v>
      </c>
      <c r="M144">
        <v>-0.22069813855497991</v>
      </c>
      <c r="N144">
        <v>-0.46133994811734208</v>
      </c>
      <c r="O144">
        <v>0.25736722052704691</v>
      </c>
      <c r="P144">
        <v>0.16548786135431851</v>
      </c>
      <c r="Q144">
        <v>-8.7803656171098405E-4</v>
      </c>
      <c r="R144">
        <v>-0.1867751818775088</v>
      </c>
      <c r="S144">
        <v>-0.24356472816029431</v>
      </c>
      <c r="T144">
        <v>-8.0458741000313805E-2</v>
      </c>
      <c r="U144">
        <v>4.3801798878899283E-2</v>
      </c>
      <c r="V144">
        <v>0.11109878226650111</v>
      </c>
      <c r="W144">
        <v>-5.8123080368223362E-2</v>
      </c>
      <c r="X144">
        <v>0.3366476791094673</v>
      </c>
      <c r="Y144">
        <v>-0.32516627749849719</v>
      </c>
      <c r="Z144">
        <v>0.13929167846623139</v>
      </c>
      <c r="AA144">
        <v>0.38809138773396162</v>
      </c>
      <c r="AB144">
        <v>0.59462158104540508</v>
      </c>
      <c r="AC144">
        <v>-4.4415246598909441E-2</v>
      </c>
      <c r="AD144">
        <v>0.32281988165323211</v>
      </c>
      <c r="AE144">
        <v>-0.24504262303962629</v>
      </c>
      <c r="AF144">
        <v>0.28936045508919672</v>
      </c>
      <c r="AG144">
        <v>-7.1754423947134383E-2</v>
      </c>
      <c r="AH144">
        <v>-0.28121500272749428</v>
      </c>
      <c r="AI144">
        <v>-0.24170965402564529</v>
      </c>
      <c r="AJ144">
        <v>0.3835475159208877</v>
      </c>
      <c r="AK144">
        <v>0.1053081871163617</v>
      </c>
      <c r="AL144">
        <v>0.42016709082876541</v>
      </c>
      <c r="AM144">
        <v>-9.354807312691003E-3</v>
      </c>
      <c r="AN144">
        <v>0.1606804893129084</v>
      </c>
      <c r="AO144">
        <v>-0.30571655760318411</v>
      </c>
      <c r="AP144">
        <v>-0.44054163980936012</v>
      </c>
      <c r="AQ144">
        <v>-1.2926358050732129E-2</v>
      </c>
      <c r="AR144">
        <v>0.1119270552718456</v>
      </c>
      <c r="AS144">
        <v>8.9717990908834644E-2</v>
      </c>
      <c r="AT144">
        <v>-5.268151112511156E-2</v>
      </c>
      <c r="AU144">
        <v>0.27783840515158509</v>
      </c>
      <c r="AV144">
        <v>7.1084984794311717E-2</v>
      </c>
      <c r="AW144">
        <v>-6.3823541074476881E-2</v>
      </c>
      <c r="AX144">
        <v>0.15798181223746349</v>
      </c>
    </row>
    <row r="145" spans="1:50" x14ac:dyDescent="0.25">
      <c r="A145">
        <v>-0.2695951933162366</v>
      </c>
      <c r="B145">
        <v>-0.25288757587904109</v>
      </c>
      <c r="C145">
        <v>-9.8938195643560503E-2</v>
      </c>
      <c r="D145">
        <v>-0.27742185328639801</v>
      </c>
      <c r="E145">
        <v>-0.16897833413568711</v>
      </c>
      <c r="F145">
        <v>-0.58754073601760715</v>
      </c>
      <c r="G145">
        <v>-0.300875120926131</v>
      </c>
      <c r="H145">
        <v>2.4931880222331209E-2</v>
      </c>
      <c r="I145">
        <v>0.52295926064356946</v>
      </c>
      <c r="J145">
        <v>0.1559607627418364</v>
      </c>
      <c r="K145">
        <v>-0.1834344795103712</v>
      </c>
      <c r="L145">
        <v>-9.6105038489045669E-2</v>
      </c>
      <c r="M145">
        <v>-0.28965128400364609</v>
      </c>
      <c r="N145">
        <v>-0.43817395679286031</v>
      </c>
      <c r="O145">
        <v>7.2227733379049849E-2</v>
      </c>
      <c r="P145">
        <v>0.13392442501309801</v>
      </c>
      <c r="Q145">
        <v>0.57802093563826651</v>
      </c>
      <c r="R145">
        <v>-0.29702620084420728</v>
      </c>
      <c r="S145">
        <v>-0.54113013401075294</v>
      </c>
      <c r="T145">
        <v>-0.16489595483880159</v>
      </c>
      <c r="U145">
        <v>0.39950810597116559</v>
      </c>
      <c r="V145">
        <v>-7.2045580944312002E-2</v>
      </c>
      <c r="W145">
        <v>-5.7716605667869243E-2</v>
      </c>
      <c r="X145">
        <v>-0.38256258636259238</v>
      </c>
      <c r="Y145">
        <v>-4.8756490762582587E-2</v>
      </c>
      <c r="Z145">
        <v>0.37921180069978772</v>
      </c>
      <c r="AA145">
        <v>-4.4987714203629956E-3</v>
      </c>
      <c r="AB145">
        <v>6.0674527928874657E-2</v>
      </c>
      <c r="AC145">
        <v>0.1794295066784847</v>
      </c>
      <c r="AD145">
        <v>0.21032215663988141</v>
      </c>
      <c r="AE145">
        <v>-0.19599052451002469</v>
      </c>
      <c r="AF145">
        <v>8.9167437262726967E-2</v>
      </c>
      <c r="AG145">
        <v>0.29499588898698442</v>
      </c>
      <c r="AH145">
        <v>-0.76030117406475439</v>
      </c>
      <c r="AI145">
        <v>0.20320103613861609</v>
      </c>
      <c r="AJ145">
        <v>2.6333622543954039E-2</v>
      </c>
      <c r="AK145">
        <v>5.7672229437983363E-2</v>
      </c>
      <c r="AL145">
        <v>0.40457143939267443</v>
      </c>
      <c r="AM145">
        <v>0.24139758878834991</v>
      </c>
      <c r="AN145">
        <v>-0.21094414452633589</v>
      </c>
      <c r="AO145">
        <v>0.14484599872197881</v>
      </c>
      <c r="AP145">
        <v>-4.8336697087548439E-2</v>
      </c>
      <c r="AQ145">
        <v>-0.30458005562410118</v>
      </c>
      <c r="AR145">
        <v>-0.48325222341415602</v>
      </c>
      <c r="AS145">
        <v>-0.46468129555313847</v>
      </c>
      <c r="AT145">
        <v>-3.5628198542536002E-2</v>
      </c>
      <c r="AU145">
        <v>0.47424961430532497</v>
      </c>
      <c r="AV145">
        <v>0.29303376229487788</v>
      </c>
      <c r="AW145">
        <v>2.270521657784946E-2</v>
      </c>
      <c r="AX145">
        <v>6.2559693121605642E-2</v>
      </c>
    </row>
    <row r="146" spans="1:50" x14ac:dyDescent="0.25">
      <c r="A146">
        <v>-0.31455860552141829</v>
      </c>
      <c r="B146">
        <v>7.7231249571694693E-2</v>
      </c>
      <c r="C146">
        <v>-0.17811194792565149</v>
      </c>
      <c r="D146">
        <v>-1.559381780640309E-2</v>
      </c>
      <c r="E146">
        <v>0.1378771049847147</v>
      </c>
      <c r="F146">
        <v>-0.1076831293307044</v>
      </c>
      <c r="G146">
        <v>0.45213507551175991</v>
      </c>
      <c r="H146">
        <v>-0.30398647866538381</v>
      </c>
      <c r="I146">
        <v>0.49919903866414628</v>
      </c>
      <c r="J146">
        <v>-0.1180465041681918</v>
      </c>
      <c r="K146">
        <v>6.7043630439674512E-2</v>
      </c>
      <c r="L146">
        <v>0.1215035091170297</v>
      </c>
      <c r="M146">
        <v>6.3372426211840666E-2</v>
      </c>
      <c r="N146">
        <v>0.2176813380782163</v>
      </c>
      <c r="O146">
        <v>0.34750131739761891</v>
      </c>
      <c r="P146">
        <v>-0.17926270292747501</v>
      </c>
      <c r="Q146">
        <v>-0.2765387109774971</v>
      </c>
      <c r="R146">
        <v>-6.4415245585863826E-2</v>
      </c>
      <c r="S146">
        <v>0.64120902937970869</v>
      </c>
      <c r="T146">
        <v>0.19756835010716939</v>
      </c>
      <c r="U146">
        <v>0.21869122162779489</v>
      </c>
      <c r="V146">
        <v>0.4474875680660631</v>
      </c>
      <c r="W146">
        <v>-6.9348463232093038E-2</v>
      </c>
      <c r="X146">
        <v>-6.8598116920597987E-2</v>
      </c>
      <c r="Y146">
        <v>-5.5831734354145589E-2</v>
      </c>
      <c r="Z146">
        <v>-0.17662920248386749</v>
      </c>
      <c r="AA146">
        <v>-0.13107995331474689</v>
      </c>
      <c r="AB146">
        <v>-0.2396694496093619</v>
      </c>
      <c r="AC146">
        <v>0.47794197993640231</v>
      </c>
      <c r="AD146">
        <v>-0.51555847885909545</v>
      </c>
      <c r="AE146">
        <v>0.15179340377928169</v>
      </c>
      <c r="AF146">
        <v>0.1304241406138815</v>
      </c>
      <c r="AG146">
        <v>-0.32566496948892137</v>
      </c>
      <c r="AH146">
        <v>0.66891743798483927</v>
      </c>
      <c r="AI146">
        <v>0.1493798814818337</v>
      </c>
      <c r="AJ146">
        <v>0.20270666967657791</v>
      </c>
      <c r="AK146">
        <v>0.50593991076750577</v>
      </c>
      <c r="AL146">
        <v>-0.31097952167454701</v>
      </c>
      <c r="AM146">
        <v>0.47033357792046648</v>
      </c>
      <c r="AN146">
        <v>0.49206759859590488</v>
      </c>
      <c r="AO146">
        <v>0.39317072451352458</v>
      </c>
      <c r="AP146">
        <v>-0.30340919188807419</v>
      </c>
      <c r="AQ146">
        <v>-0.35335681188836021</v>
      </c>
      <c r="AR146">
        <v>0.37809170393376568</v>
      </c>
      <c r="AS146">
        <v>-0.12974850524002349</v>
      </c>
      <c r="AT146">
        <v>4.7835592156962883E-2</v>
      </c>
      <c r="AU146">
        <v>-0.1894496766683349</v>
      </c>
      <c r="AV146">
        <v>0.27616206152722039</v>
      </c>
      <c r="AW146">
        <v>-0.28213991255827098</v>
      </c>
      <c r="AX146">
        <v>0.39749237261772091</v>
      </c>
    </row>
    <row r="147" spans="1:50" x14ac:dyDescent="0.25">
      <c r="A147">
        <v>-0.73276060614559424</v>
      </c>
      <c r="B147">
        <v>-9.6903985256413278E-2</v>
      </c>
      <c r="C147">
        <v>-0.47881576987130858</v>
      </c>
      <c r="D147">
        <v>4.3294077373384053E-2</v>
      </c>
      <c r="E147">
        <v>6.7906911592029537E-2</v>
      </c>
      <c r="F147">
        <v>0.7751172450477567</v>
      </c>
      <c r="G147">
        <v>0.1705863945326323</v>
      </c>
      <c r="H147">
        <v>0.47602387718564532</v>
      </c>
      <c r="I147">
        <v>-0.7707485931855681</v>
      </c>
      <c r="J147">
        <v>0.26504610097202203</v>
      </c>
      <c r="K147">
        <v>-0.58515411620208857</v>
      </c>
      <c r="L147">
        <v>0.84464764161648109</v>
      </c>
      <c r="M147">
        <v>0.22077432718921181</v>
      </c>
      <c r="N147">
        <v>5.0249654538336123E-2</v>
      </c>
      <c r="O147">
        <v>-0.36164461999121972</v>
      </c>
      <c r="P147">
        <v>0.26233288353505968</v>
      </c>
      <c r="Q147">
        <v>0.70611739447967425</v>
      </c>
      <c r="R147">
        <v>0.200840093448095</v>
      </c>
      <c r="S147">
        <v>0.24692966740069591</v>
      </c>
      <c r="T147">
        <v>-0.36772249696577552</v>
      </c>
      <c r="U147">
        <v>-7.5788011579885006E-4</v>
      </c>
      <c r="V147">
        <v>6.2707206687876466E-2</v>
      </c>
      <c r="W147">
        <v>-0.21160822465005419</v>
      </c>
      <c r="X147">
        <v>-0.47775495212654218</v>
      </c>
      <c r="Y147">
        <v>0.60178798044746939</v>
      </c>
      <c r="Z147">
        <v>0.49389012777897501</v>
      </c>
      <c r="AA147">
        <v>-0.90659566902087374</v>
      </c>
      <c r="AB147">
        <v>0.26517646970725378</v>
      </c>
      <c r="AC147">
        <v>-7.6787259145179353E-3</v>
      </c>
      <c r="AD147">
        <v>-0.29613584394025599</v>
      </c>
      <c r="AE147">
        <v>-0.46965659815003469</v>
      </c>
      <c r="AF147">
        <v>0.58745498830367904</v>
      </c>
      <c r="AG147">
        <v>0.1154884785405602</v>
      </c>
      <c r="AH147">
        <v>0.1705018554641459</v>
      </c>
      <c r="AI147">
        <v>-0.17694901222155379</v>
      </c>
      <c r="AJ147">
        <v>0.25149583129873099</v>
      </c>
      <c r="AK147">
        <v>-0.73764875713331879</v>
      </c>
      <c r="AL147">
        <v>0.46575307988683029</v>
      </c>
      <c r="AM147">
        <v>-0.27946823759263911</v>
      </c>
      <c r="AN147">
        <v>0.70856316618006643</v>
      </c>
      <c r="AO147">
        <v>0.36898555775228181</v>
      </c>
      <c r="AP147">
        <v>0.54821451358232132</v>
      </c>
      <c r="AQ147">
        <v>-0.16685712544966119</v>
      </c>
      <c r="AR147">
        <v>4.2779171061138981E-2</v>
      </c>
      <c r="AS147">
        <v>-0.84967823725848979</v>
      </c>
      <c r="AT147">
        <v>0.88215413484266447</v>
      </c>
      <c r="AU147">
        <v>0.30170915569837031</v>
      </c>
      <c r="AV147">
        <v>0.99543576506058629</v>
      </c>
      <c r="AW147">
        <v>-7.9281156694183161E-2</v>
      </c>
      <c r="AX147">
        <v>-0.2235090796505905</v>
      </c>
    </row>
    <row r="148" spans="1:50" x14ac:dyDescent="0.25">
      <c r="A148">
        <v>5.4609199003677819E-3</v>
      </c>
      <c r="B148">
        <v>-2.1990502417272642E-3</v>
      </c>
      <c r="C148">
        <v>7.8410784563684707E-2</v>
      </c>
      <c r="D148">
        <v>0.15072610281244189</v>
      </c>
      <c r="E148">
        <v>0.134852001932703</v>
      </c>
      <c r="F148">
        <v>-1.057675931960635E-2</v>
      </c>
      <c r="G148">
        <v>9.8009420635575439E-2</v>
      </c>
      <c r="H148">
        <v>-2.5800354418141411E-2</v>
      </c>
      <c r="I148">
        <v>-1.9789378216707312E-2</v>
      </c>
      <c r="J148">
        <v>-0.13230365822932591</v>
      </c>
      <c r="K148">
        <v>-0.12854881342128829</v>
      </c>
      <c r="L148">
        <v>-4.0455653333099202E-2</v>
      </c>
      <c r="M148">
        <v>-5.191404059367874E-2</v>
      </c>
      <c r="N148">
        <v>3.1205017505729699E-2</v>
      </c>
      <c r="O148">
        <v>-0.1211508395538992</v>
      </c>
      <c r="P148">
        <v>1.011287015879829E-2</v>
      </c>
      <c r="Q148">
        <v>7.6842935251346944E-2</v>
      </c>
      <c r="R148">
        <v>7.826593130341665E-2</v>
      </c>
      <c r="S148">
        <v>4.4052612244368482E-2</v>
      </c>
      <c r="T148">
        <v>8.4652955289291912E-2</v>
      </c>
      <c r="U148">
        <v>3.6173324189044599E-2</v>
      </c>
      <c r="V148">
        <v>5.154281313041781E-3</v>
      </c>
      <c r="W148">
        <v>3.7831484549662599E-2</v>
      </c>
      <c r="X148">
        <v>0.1192891998854714</v>
      </c>
      <c r="Y148">
        <v>2.403478284487932E-2</v>
      </c>
      <c r="Z148">
        <v>-2.3451330192852581E-2</v>
      </c>
      <c r="AA148">
        <v>3.382151180016476E-3</v>
      </c>
      <c r="AB148">
        <v>1.2446302526806321E-3</v>
      </c>
      <c r="AC148">
        <v>9.7146164474145227E-3</v>
      </c>
      <c r="AD148">
        <v>0.111104325820904</v>
      </c>
      <c r="AE148">
        <v>1.4912981167479109E-2</v>
      </c>
      <c r="AF148">
        <v>6.2859458635481424E-2</v>
      </c>
      <c r="AG148">
        <v>5.3599686527703791E-2</v>
      </c>
      <c r="AH148">
        <v>0.16304935629771941</v>
      </c>
      <c r="AI148">
        <v>2.2516881440701051E-2</v>
      </c>
      <c r="AJ148">
        <v>-1.575709122089456E-2</v>
      </c>
      <c r="AK148">
        <v>-7.3215233383475728E-2</v>
      </c>
      <c r="AL148">
        <v>5.4497495677870877E-2</v>
      </c>
      <c r="AM148">
        <v>-1.195587586100556E-2</v>
      </c>
      <c r="AN148">
        <v>7.5900994571250671E-2</v>
      </c>
      <c r="AO148">
        <v>3.463908662569036E-3</v>
      </c>
      <c r="AP148">
        <v>-3.6056684984218462E-2</v>
      </c>
      <c r="AQ148">
        <v>8.8717569048794409E-2</v>
      </c>
      <c r="AR148">
        <v>0.14516377904322411</v>
      </c>
      <c r="AS148">
        <v>-5.7639437425392973E-2</v>
      </c>
      <c r="AT148">
        <v>1.3181283777722741E-2</v>
      </c>
      <c r="AU148">
        <v>0.18518733545588789</v>
      </c>
      <c r="AV148">
        <v>1.7045384397160041E-2</v>
      </c>
      <c r="AW148">
        <v>3.2489261785502541E-3</v>
      </c>
      <c r="AX148">
        <v>0.1163339414734359</v>
      </c>
    </row>
    <row r="149" spans="1:50" x14ac:dyDescent="0.25">
      <c r="A149">
        <v>0.1918404122565309</v>
      </c>
      <c r="B149">
        <v>0.26885613173526202</v>
      </c>
      <c r="C149">
        <v>-1.075559006848585E-2</v>
      </c>
      <c r="D149">
        <v>0.41062199230297181</v>
      </c>
      <c r="E149">
        <v>-0.17368522807018191</v>
      </c>
      <c r="F149">
        <v>0.18651397739736009</v>
      </c>
      <c r="G149">
        <v>0.30043555432707081</v>
      </c>
      <c r="H149">
        <v>8.6064159490596717E-2</v>
      </c>
      <c r="I149">
        <v>0.32857669053522981</v>
      </c>
      <c r="J149">
        <v>0.29629362349709748</v>
      </c>
      <c r="K149">
        <v>-0.30364121721592829</v>
      </c>
      <c r="L149">
        <v>2.166621656549135E-2</v>
      </c>
      <c r="M149">
        <v>4.7616933860097507E-2</v>
      </c>
      <c r="N149">
        <v>0.27773456978583638</v>
      </c>
      <c r="O149">
        <v>-0.1573108812717775</v>
      </c>
      <c r="P149">
        <v>0.26581178422296448</v>
      </c>
      <c r="Q149">
        <v>4.1010271898534179E-2</v>
      </c>
      <c r="R149">
        <v>-0.1681853122722419</v>
      </c>
      <c r="S149">
        <v>6.6594946041390792E-3</v>
      </c>
      <c r="T149">
        <v>-6.9565857050974553E-2</v>
      </c>
      <c r="U149">
        <v>0.19957629189357889</v>
      </c>
      <c r="V149">
        <v>0.15743934649097791</v>
      </c>
      <c r="W149">
        <v>0.16426332810855179</v>
      </c>
      <c r="X149">
        <v>-5.6493007088057913E-2</v>
      </c>
      <c r="Y149">
        <v>0.27921393387466209</v>
      </c>
      <c r="Z149">
        <v>0.23260146405378809</v>
      </c>
      <c r="AA149">
        <v>-0.1054701757056251</v>
      </c>
      <c r="AB149">
        <v>-3.4796510458577783E-2</v>
      </c>
      <c r="AC149">
        <v>-8.3216640421647448E-2</v>
      </c>
      <c r="AD149">
        <v>3.3320650747412001E-2</v>
      </c>
      <c r="AE149">
        <v>4.3606962826164469E-2</v>
      </c>
      <c r="AF149">
        <v>-7.7898069935947348E-2</v>
      </c>
      <c r="AG149">
        <v>4.4359530142724521E-2</v>
      </c>
      <c r="AH149">
        <v>6.7467821898626795E-2</v>
      </c>
      <c r="AI149">
        <v>-1.9681436444041081E-3</v>
      </c>
      <c r="AJ149">
        <v>0.26283361418110429</v>
      </c>
      <c r="AK149">
        <v>2.461141340781767E-3</v>
      </c>
      <c r="AL149">
        <v>9.7366090090099888E-2</v>
      </c>
      <c r="AM149">
        <v>-7.009458340507399E-2</v>
      </c>
      <c r="AN149">
        <v>6.6358828995607314E-2</v>
      </c>
      <c r="AO149">
        <v>-0.30359242440833439</v>
      </c>
      <c r="AP149">
        <v>-0.12661903967093599</v>
      </c>
      <c r="AQ149">
        <v>0.3989082811792693</v>
      </c>
      <c r="AR149">
        <v>1.8044370005310961E-2</v>
      </c>
      <c r="AS149">
        <v>-0.1156421115856572</v>
      </c>
      <c r="AT149">
        <v>0.4196504616682083</v>
      </c>
      <c r="AU149">
        <v>-0.24360227342465571</v>
      </c>
      <c r="AV149">
        <v>0.20528187868663311</v>
      </c>
      <c r="AW149">
        <v>0.46790164007915269</v>
      </c>
      <c r="AX149">
        <v>-2.0446531334397621E-2</v>
      </c>
    </row>
    <row r="150" spans="1:50" x14ac:dyDescent="0.25">
      <c r="A150">
        <v>-0.33351159979619133</v>
      </c>
      <c r="B150">
        <v>-0.33058365747250729</v>
      </c>
      <c r="C150">
        <v>-0.51745619720728553</v>
      </c>
      <c r="D150">
        <v>0.25926344567980819</v>
      </c>
      <c r="E150">
        <v>3.0946899527403891E-2</v>
      </c>
      <c r="F150">
        <v>0.10854457344347181</v>
      </c>
      <c r="G150">
        <v>-0.30115333414747603</v>
      </c>
      <c r="H150">
        <v>0.1046331505469946</v>
      </c>
      <c r="I150">
        <v>-3.6158952437953841E-3</v>
      </c>
      <c r="J150">
        <v>-0.24720656090310869</v>
      </c>
      <c r="K150">
        <v>5.1507743397362089E-2</v>
      </c>
      <c r="L150">
        <v>-0.19328555365548211</v>
      </c>
      <c r="M150">
        <v>0.46190428040486209</v>
      </c>
      <c r="N150">
        <v>0.60491651574128769</v>
      </c>
      <c r="O150">
        <v>0.13139791792466129</v>
      </c>
      <c r="P150">
        <v>-0.20732600418799291</v>
      </c>
      <c r="Q150">
        <v>0.40720086508011882</v>
      </c>
      <c r="R150">
        <v>1.703547772050306E-2</v>
      </c>
      <c r="S150">
        <v>0.52010881130639863</v>
      </c>
      <c r="T150">
        <v>-0.13226492391473149</v>
      </c>
      <c r="U150">
        <v>-0.112103061635725</v>
      </c>
      <c r="V150">
        <v>0.25750403252279719</v>
      </c>
      <c r="W150">
        <v>-0.21442888200442201</v>
      </c>
      <c r="X150">
        <v>-2.501048501841744E-2</v>
      </c>
      <c r="Y150">
        <v>7.0316241560403484E-3</v>
      </c>
      <c r="Z150">
        <v>0.32978282672501102</v>
      </c>
      <c r="AA150">
        <v>0.25713997078022571</v>
      </c>
      <c r="AB150">
        <v>-0.39698067872280768</v>
      </c>
      <c r="AC150">
        <v>-1.532591460502059E-2</v>
      </c>
      <c r="AD150">
        <v>-0.14183594356354581</v>
      </c>
      <c r="AE150">
        <v>-0.15852861056903461</v>
      </c>
      <c r="AF150">
        <v>-0.32457384720943222</v>
      </c>
      <c r="AG150">
        <v>-0.31408874960632083</v>
      </c>
      <c r="AH150">
        <v>-0.33681226148659282</v>
      </c>
      <c r="AI150">
        <v>0.32598221117980369</v>
      </c>
      <c r="AJ150">
        <v>-0.27107022229999039</v>
      </c>
      <c r="AK150">
        <v>-0.36653250320645597</v>
      </c>
      <c r="AL150">
        <v>0.40669613584854869</v>
      </c>
      <c r="AM150">
        <v>-0.36635905715248462</v>
      </c>
      <c r="AN150">
        <v>0.54938580683368721</v>
      </c>
      <c r="AO150">
        <v>-0.39558630706347592</v>
      </c>
      <c r="AP150">
        <v>-2.431245587489355E-2</v>
      </c>
      <c r="AQ150">
        <v>-9.1638996696303598E-2</v>
      </c>
      <c r="AR150">
        <v>0.11571293504117371</v>
      </c>
      <c r="AS150">
        <v>-0.20433538106230939</v>
      </c>
      <c r="AT150">
        <v>-0.1822073897004588</v>
      </c>
      <c r="AU150">
        <v>-2.5296002002079529E-2</v>
      </c>
      <c r="AV150">
        <v>-0.29543842516530028</v>
      </c>
      <c r="AW150">
        <v>8.4299785570665239E-2</v>
      </c>
      <c r="AX150">
        <v>0.27045965868594368</v>
      </c>
    </row>
    <row r="151" spans="1:50" x14ac:dyDescent="0.25">
      <c r="A151">
        <v>1.8486276339862929E-2</v>
      </c>
      <c r="B151">
        <v>0.19661392927838761</v>
      </c>
      <c r="C151">
        <v>-0.27478815675439888</v>
      </c>
      <c r="D151">
        <v>8.7114275817375658E-2</v>
      </c>
      <c r="E151">
        <v>-0.16755600409855989</v>
      </c>
      <c r="F151">
        <v>8.5894089220880515E-2</v>
      </c>
      <c r="G151">
        <v>-4.5845150658089327E-2</v>
      </c>
      <c r="H151">
        <v>-0.12696470144490021</v>
      </c>
      <c r="I151">
        <v>0.18767172885175681</v>
      </c>
      <c r="J151">
        <v>2.9506790004224698E-2</v>
      </c>
      <c r="K151">
        <v>4.6411292389727597E-2</v>
      </c>
      <c r="L151">
        <v>-5.9017883311842399E-2</v>
      </c>
      <c r="M151">
        <v>-0.1435273820299888</v>
      </c>
      <c r="N151">
        <v>9.2584838374379877E-2</v>
      </c>
      <c r="O151">
        <v>0.3347290774902632</v>
      </c>
      <c r="P151">
        <v>-0.12997952081768591</v>
      </c>
      <c r="Q151">
        <v>-0.1101797258957901</v>
      </c>
      <c r="R151">
        <v>-0.12866766686521419</v>
      </c>
      <c r="S151">
        <v>6.2806677906978303E-2</v>
      </c>
      <c r="T151">
        <v>-0.1739259411271675</v>
      </c>
      <c r="U151">
        <v>-3.4133885232936118E-2</v>
      </c>
      <c r="V151">
        <v>0.50879733695341267</v>
      </c>
      <c r="W151">
        <v>-8.8691395577994173E-2</v>
      </c>
      <c r="X151">
        <v>0.1450249837443765</v>
      </c>
      <c r="Y151">
        <v>-2.7307760389019609E-2</v>
      </c>
      <c r="Z151">
        <v>0.1352651184254639</v>
      </c>
      <c r="AA151">
        <v>-1.194970262259434E-2</v>
      </c>
      <c r="AB151">
        <v>0.16866112661402249</v>
      </c>
      <c r="AC151">
        <v>0.1025498026118159</v>
      </c>
      <c r="AD151">
        <v>9.528661988687008E-2</v>
      </c>
      <c r="AE151">
        <v>2.902814302539556E-2</v>
      </c>
      <c r="AF151">
        <v>-0.1494763893637536</v>
      </c>
      <c r="AG151">
        <v>-8.503781054158191E-2</v>
      </c>
      <c r="AH151">
        <v>3.5127092072106347E-2</v>
      </c>
      <c r="AI151">
        <v>0.2045657801710731</v>
      </c>
      <c r="AJ151">
        <v>-0.18247156511208401</v>
      </c>
      <c r="AK151">
        <v>0.17937022044803491</v>
      </c>
      <c r="AL151">
        <v>8.760218486144683E-2</v>
      </c>
      <c r="AM151">
        <v>-0.20025828295642059</v>
      </c>
      <c r="AN151">
        <v>8.8477801487697842E-3</v>
      </c>
      <c r="AO151">
        <v>-1.768101480021475E-3</v>
      </c>
      <c r="AP151">
        <v>-0.14728269180615819</v>
      </c>
      <c r="AQ151">
        <v>0.28538280871987959</v>
      </c>
      <c r="AR151">
        <v>-9.9501613458398107E-3</v>
      </c>
      <c r="AS151">
        <v>-4.1323779392913602E-2</v>
      </c>
      <c r="AT151">
        <v>4.2450628006996879E-2</v>
      </c>
      <c r="AU151">
        <v>-7.1086511952610315E-2</v>
      </c>
      <c r="AV151">
        <v>0.106454610093438</v>
      </c>
      <c r="AW151">
        <v>5.1557309850558009E-2</v>
      </c>
      <c r="AX151">
        <v>-0.1588763882963263</v>
      </c>
    </row>
    <row r="152" spans="1:50" x14ac:dyDescent="0.25">
      <c r="A152">
        <v>0.33063038567248521</v>
      </c>
      <c r="B152">
        <v>-0.21368251888337439</v>
      </c>
      <c r="C152">
        <v>0.36751421222436842</v>
      </c>
      <c r="D152">
        <v>-1.004799977511402E-2</v>
      </c>
      <c r="E152">
        <v>6.0441420618875911E-3</v>
      </c>
      <c r="F152">
        <v>0.14241987813567811</v>
      </c>
      <c r="G152">
        <v>0.21419054235806889</v>
      </c>
      <c r="H152">
        <v>-0.17018642925854929</v>
      </c>
      <c r="I152">
        <v>0.11363408914010439</v>
      </c>
      <c r="J152">
        <v>6.1979919354922697E-2</v>
      </c>
      <c r="K152">
        <v>-0.18122552908911069</v>
      </c>
      <c r="L152">
        <v>1.133298613397285E-2</v>
      </c>
      <c r="M152">
        <v>-0.1171904353555395</v>
      </c>
      <c r="N152">
        <v>0.19258353921261259</v>
      </c>
      <c r="O152">
        <v>-4.51666247197125E-2</v>
      </c>
      <c r="P152">
        <v>-4.2897052286158623E-2</v>
      </c>
      <c r="Q152">
        <v>-4.8367641523370128E-2</v>
      </c>
      <c r="R152">
        <v>0.1174658306993448</v>
      </c>
      <c r="S152">
        <v>0.156023341843291</v>
      </c>
      <c r="T152">
        <v>-0.17714738742481981</v>
      </c>
      <c r="U152">
        <v>-0.13744189161150619</v>
      </c>
      <c r="V152">
        <v>-5.2734958391124024E-3</v>
      </c>
      <c r="W152">
        <v>0.14703278115676119</v>
      </c>
      <c r="X152">
        <v>-0.18379446059301341</v>
      </c>
      <c r="Y152">
        <v>0.1059281361475556</v>
      </c>
      <c r="Z152">
        <v>9.2623506875258461E-3</v>
      </c>
      <c r="AA152">
        <v>-4.3873204360621143E-2</v>
      </c>
      <c r="AB152">
        <v>-0.22894721225731121</v>
      </c>
      <c r="AC152">
        <v>0.27611415108223858</v>
      </c>
      <c r="AD152">
        <v>3.1338102120689187E-2</v>
      </c>
      <c r="AE152">
        <v>0.40031455105276392</v>
      </c>
      <c r="AF152">
        <v>-3.7252080810458527E-2</v>
      </c>
      <c r="AG152">
        <v>6.8147352457031823E-2</v>
      </c>
      <c r="AH152">
        <v>0.3614369675797911</v>
      </c>
      <c r="AI152">
        <v>-0.1491773524589097</v>
      </c>
      <c r="AJ152">
        <v>0.1474610242247735</v>
      </c>
      <c r="AK152">
        <v>1.6444703111834411E-2</v>
      </c>
      <c r="AL152">
        <v>0.1059613173482821</v>
      </c>
      <c r="AM152">
        <v>-0.35064696262233852</v>
      </c>
      <c r="AN152">
        <v>-0.19950077847771019</v>
      </c>
      <c r="AO152">
        <v>-2.09763157229657E-2</v>
      </c>
      <c r="AP152">
        <v>0.20771980403014531</v>
      </c>
      <c r="AQ152">
        <v>0.15222678144381299</v>
      </c>
      <c r="AR152">
        <v>0.12579210055036599</v>
      </c>
      <c r="AS152">
        <v>5.3514454124139493E-2</v>
      </c>
      <c r="AT152">
        <v>7.5754828502834048E-2</v>
      </c>
      <c r="AU152">
        <v>-0.40116272262406238</v>
      </c>
      <c r="AV152">
        <v>0.40676133414336929</v>
      </c>
      <c r="AW152">
        <v>0.32967050922732211</v>
      </c>
      <c r="AX152">
        <v>0.10402286201994219</v>
      </c>
    </row>
    <row r="153" spans="1:50" x14ac:dyDescent="0.25">
      <c r="A153">
        <v>-2.9301643203126029E-2</v>
      </c>
      <c r="B153">
        <v>-5.1174573368409512E-2</v>
      </c>
      <c r="C153">
        <v>0.1060314634277177</v>
      </c>
      <c r="D153">
        <v>0.1338365763694094</v>
      </c>
      <c r="E153">
        <v>-1.3498373026268121E-2</v>
      </c>
      <c r="F153">
        <v>-3.4656862147377912E-2</v>
      </c>
      <c r="G153">
        <v>-2.073556350888398E-4</v>
      </c>
      <c r="H153">
        <v>-8.9899388867503996E-2</v>
      </c>
      <c r="I153">
        <v>9.8421887661991406E-3</v>
      </c>
      <c r="J153">
        <v>0.1203360736544009</v>
      </c>
      <c r="K153">
        <v>9.3317524944917501E-3</v>
      </c>
      <c r="L153">
        <v>6.3998415095214783E-2</v>
      </c>
      <c r="M153">
        <v>0.15268337105785321</v>
      </c>
      <c r="N153">
        <v>4.1535926335850383E-2</v>
      </c>
      <c r="O153">
        <v>0.13328934370097431</v>
      </c>
      <c r="P153">
        <v>9.9722837532072825E-2</v>
      </c>
      <c r="Q153">
        <v>-2.5742186960720378E-2</v>
      </c>
      <c r="R153">
        <v>0.19613013563366641</v>
      </c>
      <c r="S153">
        <v>0.1003007660605402</v>
      </c>
      <c r="T153">
        <v>-1.384919371992898E-2</v>
      </c>
      <c r="U153">
        <v>-2.8667913322451839E-2</v>
      </c>
      <c r="V153">
        <v>-2.0202495766953401E-2</v>
      </c>
      <c r="W153">
        <v>7.6708731267724527E-4</v>
      </c>
      <c r="X153">
        <v>0.1139747914607234</v>
      </c>
      <c r="Y153">
        <v>6.1901028348973472E-2</v>
      </c>
      <c r="Z153">
        <v>3.9468422503695033E-2</v>
      </c>
      <c r="AA153">
        <v>1.2712138613224641E-4</v>
      </c>
      <c r="AB153">
        <v>-8.8592010928398413E-2</v>
      </c>
      <c r="AC153">
        <v>-2.836295162082253E-2</v>
      </c>
      <c r="AD153">
        <v>8.1300062532861164E-3</v>
      </c>
      <c r="AE153">
        <v>-1.277588496148456E-2</v>
      </c>
      <c r="AF153">
        <v>0.13696774663027919</v>
      </c>
      <c r="AG153">
        <v>6.0175381805581248E-2</v>
      </c>
      <c r="AH153">
        <v>-2.1368290141120521E-3</v>
      </c>
      <c r="AI153">
        <v>7.3654370327462431E-3</v>
      </c>
      <c r="AJ153">
        <v>7.7856666835075514E-2</v>
      </c>
      <c r="AK153">
        <v>-8.4187933142955747E-3</v>
      </c>
      <c r="AL153">
        <v>2.1485845692795082E-2</v>
      </c>
      <c r="AM153">
        <v>7.2836329209961768E-3</v>
      </c>
      <c r="AN153">
        <v>2.4850422398592122E-2</v>
      </c>
      <c r="AO153">
        <v>-1.20676278942244E-2</v>
      </c>
      <c r="AP153">
        <v>-3.154832749727926E-2</v>
      </c>
      <c r="AQ153">
        <v>0.1050869499339309</v>
      </c>
      <c r="AR153">
        <v>6.9926604504460824E-2</v>
      </c>
      <c r="AS153">
        <v>8.7392565437968986E-2</v>
      </c>
      <c r="AT153">
        <v>-1.0847453567305819E-3</v>
      </c>
      <c r="AU153">
        <v>-2.3765014511773319E-2</v>
      </c>
      <c r="AV153">
        <v>0.1054233636376964</v>
      </c>
      <c r="AW153">
        <v>0.11863908191751869</v>
      </c>
      <c r="AX153">
        <v>0.1101826296249044</v>
      </c>
    </row>
    <row r="154" spans="1:50" x14ac:dyDescent="0.25">
      <c r="A154">
        <v>-0.35698159998254392</v>
      </c>
      <c r="B154">
        <v>-0.69663885388302804</v>
      </c>
      <c r="C154">
        <v>-0.14555548911802479</v>
      </c>
      <c r="D154">
        <v>0.205284973994381</v>
      </c>
      <c r="E154">
        <v>4.3351780116887798E-2</v>
      </c>
      <c r="F154">
        <v>0.32478587334732312</v>
      </c>
      <c r="G154">
        <v>-0.10625261963359189</v>
      </c>
      <c r="H154">
        <v>7.7783257149766083E-2</v>
      </c>
      <c r="I154">
        <v>0.2098773644022818</v>
      </c>
      <c r="J154">
        <v>-0.20172727989145811</v>
      </c>
      <c r="K154">
        <v>-0.14695069049768841</v>
      </c>
      <c r="L154">
        <v>6.335392465310985E-2</v>
      </c>
      <c r="M154">
        <v>0.19009568864746379</v>
      </c>
      <c r="N154">
        <v>0.38875990279398548</v>
      </c>
      <c r="O154">
        <v>-0.33327082692553112</v>
      </c>
      <c r="P154">
        <v>6.6725252017426989E-2</v>
      </c>
      <c r="Q154">
        <v>-0.13068029748790841</v>
      </c>
      <c r="R154">
        <v>0.31965782973667389</v>
      </c>
      <c r="S154">
        <v>0.34307917857751419</v>
      </c>
      <c r="T154">
        <v>8.3121181254189366E-2</v>
      </c>
      <c r="U154">
        <v>1.789445139254266E-2</v>
      </c>
      <c r="V154">
        <v>0.21025921151143739</v>
      </c>
      <c r="W154">
        <v>-6.4299989763128312E-2</v>
      </c>
      <c r="X154">
        <v>-0.18482545021460731</v>
      </c>
      <c r="Y154">
        <v>5.1122465317815197E-2</v>
      </c>
      <c r="Z154">
        <v>-0.17447929895528641</v>
      </c>
      <c r="AA154">
        <v>5.7293767293061591E-2</v>
      </c>
      <c r="AB154">
        <v>0.42429026884122789</v>
      </c>
      <c r="AC154">
        <v>0.52055547437049932</v>
      </c>
      <c r="AD154">
        <v>-0.77280325300684083</v>
      </c>
      <c r="AE154">
        <v>0.46323300533785128</v>
      </c>
      <c r="AF154">
        <v>-0.48072217169859183</v>
      </c>
      <c r="AG154">
        <v>4.2401817639602032E-2</v>
      </c>
      <c r="AH154">
        <v>-0.29368865483883888</v>
      </c>
      <c r="AI154">
        <v>-1.562059968567781E-2</v>
      </c>
      <c r="AJ154">
        <v>0.6122782533546427</v>
      </c>
      <c r="AK154">
        <v>-7.3694180121111924E-2</v>
      </c>
      <c r="AL154">
        <v>-0.40750214697314469</v>
      </c>
      <c r="AM154">
        <v>-0.51013208907665497</v>
      </c>
      <c r="AN154">
        <v>-7.7586203157903932E-2</v>
      </c>
      <c r="AO154">
        <v>0.31827097414162131</v>
      </c>
      <c r="AP154">
        <v>0.30575303908724411</v>
      </c>
      <c r="AQ154">
        <v>0.45189484205926611</v>
      </c>
      <c r="AR154">
        <v>0.338575234644302</v>
      </c>
      <c r="AS154">
        <v>5.9466550087736617E-2</v>
      </c>
      <c r="AT154">
        <v>-0.24400387866008971</v>
      </c>
      <c r="AU154">
        <v>-0.36202813025117309</v>
      </c>
      <c r="AV154">
        <v>0.28521663153212651</v>
      </c>
      <c r="AW154">
        <v>-0.60296822325485211</v>
      </c>
      <c r="AX154">
        <v>-0.28025028459406209</v>
      </c>
    </row>
    <row r="155" spans="1:50" x14ac:dyDescent="0.25">
      <c r="A155">
        <v>6.3665845643712193E-2</v>
      </c>
      <c r="B155">
        <v>4.1975948874330489E-2</v>
      </c>
      <c r="C155">
        <v>0.69672547816977282</v>
      </c>
      <c r="D155">
        <v>0.18659579894904291</v>
      </c>
      <c r="E155">
        <v>-0.48453470709784741</v>
      </c>
      <c r="F155">
        <v>-0.29607151494260719</v>
      </c>
      <c r="G155">
        <v>7.2542143333756859E-2</v>
      </c>
      <c r="H155">
        <v>5.5912068462352298E-2</v>
      </c>
      <c r="I155">
        <v>-0.3753247099668825</v>
      </c>
      <c r="J155">
        <v>0.19378628959033911</v>
      </c>
      <c r="K155">
        <v>-0.41627458027927988</v>
      </c>
      <c r="L155">
        <v>-0.166803665333597</v>
      </c>
      <c r="M155">
        <v>0.1759768174038264</v>
      </c>
      <c r="N155">
        <v>0.2237319350083955</v>
      </c>
      <c r="O155">
        <v>-0.31028310702335671</v>
      </c>
      <c r="P155">
        <v>0.47058768464223122</v>
      </c>
      <c r="Q155">
        <v>0.1084136444964193</v>
      </c>
      <c r="R155">
        <v>0.36780422466108009</v>
      </c>
      <c r="S155">
        <v>0.26119694846868319</v>
      </c>
      <c r="T155">
        <v>-0.1584667526455015</v>
      </c>
      <c r="U155">
        <v>-0.16572805041810129</v>
      </c>
      <c r="V155">
        <v>0.53247473900777642</v>
      </c>
      <c r="W155">
        <v>0.25154544029958842</v>
      </c>
      <c r="X155">
        <v>0.34047967285551572</v>
      </c>
      <c r="Y155">
        <v>0.71938842856769303</v>
      </c>
      <c r="Z155">
        <v>6.7228670266322926E-2</v>
      </c>
      <c r="AA155">
        <v>-2.7423392819920761E-2</v>
      </c>
      <c r="AB155">
        <v>9.568827862728857E-2</v>
      </c>
      <c r="AC155">
        <v>0.35293036296861541</v>
      </c>
      <c r="AD155">
        <v>-0.38070058015454927</v>
      </c>
      <c r="AE155">
        <v>2.919585221717319E-2</v>
      </c>
      <c r="AF155">
        <v>-0.25786470535482492</v>
      </c>
      <c r="AG155">
        <v>-1.8712225521569859E-2</v>
      </c>
      <c r="AH155">
        <v>-1.2178016020920401E-4</v>
      </c>
      <c r="AI155">
        <v>-0.1961861232334553</v>
      </c>
      <c r="AJ155">
        <v>7.820457444884997E-2</v>
      </c>
      <c r="AK155">
        <v>-0.39135283713186719</v>
      </c>
      <c r="AL155">
        <v>-0.29269658963670597</v>
      </c>
      <c r="AM155">
        <v>0.34276375109891022</v>
      </c>
      <c r="AN155">
        <v>0.44477828830860638</v>
      </c>
      <c r="AO155">
        <v>0.38059181030886502</v>
      </c>
      <c r="AP155">
        <v>-0.26211018354925603</v>
      </c>
      <c r="AQ155">
        <v>-0.11478016454766871</v>
      </c>
      <c r="AR155">
        <v>-0.2044931940002617</v>
      </c>
      <c r="AS155">
        <v>0.30533447089447763</v>
      </c>
      <c r="AT155">
        <v>0.41589238788621452</v>
      </c>
      <c r="AU155">
        <v>0.48785700086304162</v>
      </c>
      <c r="AV155">
        <v>0.5828251390879664</v>
      </c>
      <c r="AW155">
        <v>-0.49999635438786638</v>
      </c>
      <c r="AX155">
        <v>0.33670007710578698</v>
      </c>
    </row>
    <row r="156" spans="1:50" x14ac:dyDescent="0.25">
      <c r="A156">
        <v>-0.1627598361556595</v>
      </c>
      <c r="B156">
        <v>0.15359030304371291</v>
      </c>
      <c r="C156">
        <v>3.8237818299274459E-2</v>
      </c>
      <c r="D156">
        <v>-0.2003189923926349</v>
      </c>
      <c r="E156">
        <v>1.1164549154116771E-2</v>
      </c>
      <c r="F156">
        <v>7.0346941131273572E-2</v>
      </c>
      <c r="G156">
        <v>-0.23238209986990899</v>
      </c>
      <c r="H156">
        <v>-0.21893705317533271</v>
      </c>
      <c r="I156">
        <v>0.1948155482985334</v>
      </c>
      <c r="J156">
        <v>0.1903380821215121</v>
      </c>
      <c r="K156">
        <v>0.14424651858082049</v>
      </c>
      <c r="L156">
        <v>0.34054623278664697</v>
      </c>
      <c r="M156">
        <v>-0.12775626697673351</v>
      </c>
      <c r="N156">
        <v>0.179493826337047</v>
      </c>
      <c r="O156">
        <v>-0.12207976099532129</v>
      </c>
      <c r="P156">
        <v>0.13159957422007429</v>
      </c>
      <c r="Q156">
        <v>7.6027267035649465E-2</v>
      </c>
      <c r="R156">
        <v>-0.11076566759555991</v>
      </c>
      <c r="S156">
        <v>0.2258971445028054</v>
      </c>
      <c r="T156">
        <v>-0.1033749692461305</v>
      </c>
      <c r="U156">
        <v>0.17717133810325411</v>
      </c>
      <c r="V156">
        <v>6.2697547150657867E-2</v>
      </c>
      <c r="W156">
        <v>0.20014442579332661</v>
      </c>
      <c r="X156">
        <v>-0.17508353333846499</v>
      </c>
      <c r="Y156">
        <v>-0.13444668648022559</v>
      </c>
      <c r="Z156">
        <v>6.380099667412506E-2</v>
      </c>
      <c r="AA156">
        <v>-0.131377938292913</v>
      </c>
      <c r="AB156">
        <v>6.7433519886460472E-2</v>
      </c>
      <c r="AC156">
        <v>-3.6359990685082208E-2</v>
      </c>
      <c r="AD156">
        <v>-0.26445546524224728</v>
      </c>
      <c r="AE156">
        <v>0.25655066656408893</v>
      </c>
      <c r="AF156">
        <v>-0.1710048485860331</v>
      </c>
      <c r="AG156">
        <v>0.27573054987153112</v>
      </c>
      <c r="AH156">
        <v>-0.15065686189408101</v>
      </c>
      <c r="AI156">
        <v>0.34369836899874362</v>
      </c>
      <c r="AJ156">
        <v>0.32585040415310917</v>
      </c>
      <c r="AK156">
        <v>-0.2142283583972216</v>
      </c>
      <c r="AL156">
        <v>0.35398036675638173</v>
      </c>
      <c r="AM156">
        <v>-6.552826675424106E-2</v>
      </c>
      <c r="AN156">
        <v>0.10360123446188189</v>
      </c>
      <c r="AO156">
        <v>-4.3480987654469942E-2</v>
      </c>
      <c r="AP156">
        <v>0.32360779459746469</v>
      </c>
      <c r="AQ156">
        <v>-0.24085551491800261</v>
      </c>
      <c r="AR156">
        <v>0.2344308493775587</v>
      </c>
      <c r="AS156">
        <v>-0.11363512716514949</v>
      </c>
      <c r="AT156">
        <v>0.35084618954261793</v>
      </c>
      <c r="AU156">
        <v>7.0244422031900844E-2</v>
      </c>
      <c r="AV156">
        <v>-0.2415145529506913</v>
      </c>
      <c r="AW156">
        <v>0.36655321858017692</v>
      </c>
      <c r="AX156">
        <v>-0.20254463049517571</v>
      </c>
    </row>
    <row r="157" spans="1:50" x14ac:dyDescent="0.25">
      <c r="A157">
        <v>-0.2015892026388271</v>
      </c>
      <c r="B157">
        <v>9.8072559709149645E-2</v>
      </c>
      <c r="C157">
        <v>0.2285392619173339</v>
      </c>
      <c r="D157">
        <v>-4.0694495105967891E-2</v>
      </c>
      <c r="E157">
        <v>0.25331208954837542</v>
      </c>
      <c r="F157">
        <v>0.49323856256735832</v>
      </c>
      <c r="G157">
        <v>8.2914825584448335E-2</v>
      </c>
      <c r="H157">
        <v>3.5889506957584617E-2</v>
      </c>
      <c r="I157">
        <v>-0.1034807563428297</v>
      </c>
      <c r="J157">
        <v>-6.4973657894289077E-2</v>
      </c>
      <c r="K157">
        <v>0.19562690881873651</v>
      </c>
      <c r="L157">
        <v>-3.8015469794126393E-2</v>
      </c>
      <c r="M157">
        <v>-0.13293358750510359</v>
      </c>
      <c r="N157">
        <v>-0.10881552473568359</v>
      </c>
      <c r="O157">
        <v>0.26715375555563609</v>
      </c>
      <c r="P157">
        <v>-8.3955120048994358E-2</v>
      </c>
      <c r="Q157">
        <v>0.1933682469362015</v>
      </c>
      <c r="R157">
        <v>0.18572645618125391</v>
      </c>
      <c r="S157">
        <v>0.33490641252960901</v>
      </c>
      <c r="T157">
        <v>-7.0785249125756081E-2</v>
      </c>
      <c r="U157">
        <v>-0.19926656595439071</v>
      </c>
      <c r="V157">
        <v>0.19040262792916909</v>
      </c>
      <c r="W157">
        <v>0.29287776097284057</v>
      </c>
      <c r="X157">
        <v>-5.1157908450632589E-2</v>
      </c>
      <c r="Y157">
        <v>0.23791400168511509</v>
      </c>
      <c r="Z157">
        <v>0.19351132889678871</v>
      </c>
      <c r="AA157">
        <v>-5.867614587484634E-2</v>
      </c>
      <c r="AB157">
        <v>0.12241434444237941</v>
      </c>
      <c r="AC157">
        <v>0.13060614001760901</v>
      </c>
      <c r="AD157">
        <v>5.4059224318671793E-2</v>
      </c>
      <c r="AE157">
        <v>-3.5468782020401463E-2</v>
      </c>
      <c r="AF157">
        <v>-4.6311751162812931E-3</v>
      </c>
      <c r="AG157">
        <v>-0.31529588051964558</v>
      </c>
      <c r="AH157">
        <v>-0.18977091615195521</v>
      </c>
      <c r="AI157">
        <v>-5.9978309016505228E-2</v>
      </c>
      <c r="AJ157">
        <v>-4.2234819209295733E-2</v>
      </c>
      <c r="AK157">
        <v>0.1686359812008425</v>
      </c>
      <c r="AL157">
        <v>5.2785461721442502E-2</v>
      </c>
      <c r="AM157">
        <v>-0.19774268956765501</v>
      </c>
      <c r="AN157">
        <v>-7.9045165490121652E-2</v>
      </c>
      <c r="AO157">
        <v>-0.13689328280097571</v>
      </c>
      <c r="AP157">
        <v>-0.25408383315329253</v>
      </c>
      <c r="AQ157">
        <v>1.7156968537963529E-2</v>
      </c>
      <c r="AR157">
        <v>0.19294867363029841</v>
      </c>
      <c r="AS157">
        <v>0.13918944409622411</v>
      </c>
      <c r="AT157">
        <v>-2.2370437807061661E-2</v>
      </c>
      <c r="AU157">
        <v>0.1654764555110467</v>
      </c>
      <c r="AV157">
        <v>-7.8747241548643862E-2</v>
      </c>
      <c r="AW157">
        <v>0.31418565069058019</v>
      </c>
      <c r="AX157">
        <v>-4.2643659912042567E-2</v>
      </c>
    </row>
    <row r="158" spans="1:50" x14ac:dyDescent="0.25">
      <c r="A158">
        <v>-0.22010573919658491</v>
      </c>
      <c r="B158">
        <v>-5.1558087421846907E-2</v>
      </c>
      <c r="C158">
        <v>-0.1015093710484585</v>
      </c>
      <c r="D158">
        <v>-0.20915003510018049</v>
      </c>
      <c r="E158">
        <v>0.37150458931116881</v>
      </c>
      <c r="F158">
        <v>0.1921007705240789</v>
      </c>
      <c r="G158">
        <v>-0.15917678717809541</v>
      </c>
      <c r="H158">
        <v>0.1766008831677558</v>
      </c>
      <c r="I158">
        <v>-0.19838320727167341</v>
      </c>
      <c r="J158">
        <v>0.20594489315472639</v>
      </c>
      <c r="K158">
        <v>-0.11488419732488001</v>
      </c>
      <c r="L158">
        <v>-0.31998806771361132</v>
      </c>
      <c r="M158">
        <v>-6.9151328828821829E-2</v>
      </c>
      <c r="N158">
        <v>-2.0723174770188969E-2</v>
      </c>
      <c r="O158">
        <v>0.17606560180472641</v>
      </c>
      <c r="P158">
        <v>0.1357351231323437</v>
      </c>
      <c r="Q158">
        <v>-0.22103132485258661</v>
      </c>
      <c r="R158">
        <v>-0.30631655788621742</v>
      </c>
      <c r="S158">
        <v>8.9183037121702641E-2</v>
      </c>
      <c r="T158">
        <v>5.2942794013399033E-2</v>
      </c>
      <c r="U158">
        <v>0.28403073409090079</v>
      </c>
      <c r="V158">
        <v>0.1008155370197792</v>
      </c>
      <c r="W158">
        <v>0.53523954671366469</v>
      </c>
      <c r="X158">
        <v>5.9862205492189499E-2</v>
      </c>
      <c r="Y158">
        <v>0.13131863510897121</v>
      </c>
      <c r="Z158">
        <v>0.32335892452720338</v>
      </c>
      <c r="AA158">
        <v>-7.6754889995055531E-2</v>
      </c>
      <c r="AB158">
        <v>-0.1959689651633118</v>
      </c>
      <c r="AC158">
        <v>0.1541782425404423</v>
      </c>
      <c r="AD158">
        <v>-0.16294991723867031</v>
      </c>
      <c r="AE158">
        <v>0.15472940065285209</v>
      </c>
      <c r="AF158">
        <v>-0.1243639322342233</v>
      </c>
      <c r="AG158">
        <v>-0.20192320866246569</v>
      </c>
      <c r="AH158">
        <v>0.40149920822268459</v>
      </c>
      <c r="AI158">
        <v>-0.28199462800147829</v>
      </c>
      <c r="AJ158">
        <v>-0.1420091976608823</v>
      </c>
      <c r="AK158">
        <v>-0.28715239618923782</v>
      </c>
      <c r="AL158">
        <v>0.52345265823670584</v>
      </c>
      <c r="AM158">
        <v>-0.27667107844773342</v>
      </c>
      <c r="AN158">
        <v>-0.26814119659686347</v>
      </c>
      <c r="AO158">
        <v>-0.25295782877811668</v>
      </c>
      <c r="AP158">
        <v>-0.1030127890606089</v>
      </c>
      <c r="AQ158">
        <v>-0.2592130670902878</v>
      </c>
      <c r="AR158">
        <v>-0.42082493219947031</v>
      </c>
      <c r="AS158">
        <v>0.26103822187456649</v>
      </c>
      <c r="AT158">
        <v>-7.5400680141992624E-2</v>
      </c>
      <c r="AU158">
        <v>0.22252660440085789</v>
      </c>
      <c r="AV158">
        <v>-7.0052787896141902E-3</v>
      </c>
      <c r="AW158">
        <v>-0.33269928592617681</v>
      </c>
      <c r="AX158">
        <v>-0.36962241746728408</v>
      </c>
    </row>
    <row r="159" spans="1:50" x14ac:dyDescent="0.25">
      <c r="A159">
        <v>7.3690794661311426E-2</v>
      </c>
      <c r="B159">
        <v>6.5766766861910367E-2</v>
      </c>
      <c r="C159">
        <v>-0.1195547707768532</v>
      </c>
      <c r="D159">
        <v>-9.2336817887676614E-2</v>
      </c>
      <c r="E159">
        <v>-9.4453468647701403E-4</v>
      </c>
      <c r="F159">
        <v>0.1433707186754517</v>
      </c>
      <c r="G159">
        <v>1.369665144299787E-2</v>
      </c>
      <c r="H159">
        <v>0.1127327193381656</v>
      </c>
      <c r="I159">
        <v>5.2297870923507603E-3</v>
      </c>
      <c r="J159">
        <v>0.1470039304784039</v>
      </c>
      <c r="K159">
        <v>0.12756531022896919</v>
      </c>
      <c r="L159">
        <v>-6.8303306455919754E-2</v>
      </c>
      <c r="M159">
        <v>1.4338005832889109E-2</v>
      </c>
      <c r="N159">
        <v>2.643456759641755E-2</v>
      </c>
      <c r="O159">
        <v>0.17060800847281721</v>
      </c>
      <c r="P159">
        <v>0.1181413666477218</v>
      </c>
      <c r="Q159">
        <v>3.3621489279502287E-2</v>
      </c>
      <c r="R159">
        <v>-3.3619943048464739E-2</v>
      </c>
      <c r="S159">
        <v>0.1280296173340276</v>
      </c>
      <c r="T159">
        <v>9.2135768259065873E-3</v>
      </c>
      <c r="U159">
        <v>3.6633558150484608E-2</v>
      </c>
      <c r="V159">
        <v>1.532641683807528E-2</v>
      </c>
      <c r="W159">
        <v>1.7260377088773558E-2</v>
      </c>
      <c r="X159">
        <v>-6.341509748456056E-4</v>
      </c>
      <c r="Y159">
        <v>-4.8419886089487933E-2</v>
      </c>
      <c r="Z159">
        <v>-7.8609595773533103E-2</v>
      </c>
      <c r="AA159">
        <v>0.1118182521806303</v>
      </c>
      <c r="AB159">
        <v>6.9754816029552302E-2</v>
      </c>
      <c r="AC159">
        <v>9.293282088146558E-2</v>
      </c>
      <c r="AD159">
        <v>0.10174685436891411</v>
      </c>
      <c r="AE159">
        <v>2.0466514998546279E-2</v>
      </c>
      <c r="AF159">
        <v>1.2364305910908041E-2</v>
      </c>
      <c r="AG159">
        <v>1.9592759083927859E-2</v>
      </c>
      <c r="AH159">
        <v>0.11608144221025871</v>
      </c>
      <c r="AI159">
        <v>2.409385279772382E-2</v>
      </c>
      <c r="AJ159">
        <v>0.13468814698090531</v>
      </c>
      <c r="AK159">
        <v>-1.125219139323161E-2</v>
      </c>
      <c r="AL159">
        <v>-5.0107967990151242E-2</v>
      </c>
      <c r="AM159">
        <v>0.1246241989899137</v>
      </c>
      <c r="AN159">
        <v>9.5640681614230422E-2</v>
      </c>
      <c r="AO159">
        <v>-5.1007404299849693E-2</v>
      </c>
      <c r="AP159">
        <v>-2.5273197978764692E-2</v>
      </c>
      <c r="AQ159">
        <v>0.1126738665703846</v>
      </c>
      <c r="AR159">
        <v>-7.4391394829027943E-2</v>
      </c>
      <c r="AS159">
        <v>2.468515583755175E-2</v>
      </c>
      <c r="AT159">
        <v>5.9196949772762084E-3</v>
      </c>
      <c r="AU159">
        <v>0.13596515316254021</v>
      </c>
      <c r="AV159">
        <v>2.3988090615634509E-2</v>
      </c>
      <c r="AW159">
        <v>8.4348650394161687E-2</v>
      </c>
      <c r="AX159">
        <v>1.7616295785627779E-2</v>
      </c>
    </row>
    <row r="160" spans="1:50" x14ac:dyDescent="0.25">
      <c r="A160">
        <v>0.29817962063037079</v>
      </c>
      <c r="B160">
        <v>0.27308194867358582</v>
      </c>
      <c r="C160">
        <v>0.29027485939333242</v>
      </c>
      <c r="D160">
        <v>0.30488621573027519</v>
      </c>
      <c r="E160">
        <v>0.16967768550837689</v>
      </c>
      <c r="F160">
        <v>5.6864759321589353E-2</v>
      </c>
      <c r="G160">
        <v>0.173382120093652</v>
      </c>
      <c r="H160">
        <v>-0.30384427602156072</v>
      </c>
      <c r="I160">
        <v>-0.19790314544384011</v>
      </c>
      <c r="J160">
        <v>0.12840110963893031</v>
      </c>
      <c r="K160">
        <v>7.703089243538834E-2</v>
      </c>
      <c r="L160">
        <v>6.0622291612211056E-3</v>
      </c>
      <c r="M160">
        <v>-0.17207080289197471</v>
      </c>
      <c r="N160">
        <v>4.0566782194485562E-2</v>
      </c>
      <c r="O160">
        <v>0.14410952399324489</v>
      </c>
      <c r="P160">
        <v>3.7425315874470622E-2</v>
      </c>
      <c r="Q160">
        <v>-0.16081754351670219</v>
      </c>
      <c r="R160">
        <v>0.1124241782168922</v>
      </c>
      <c r="S160">
        <v>5.4242567931893089E-2</v>
      </c>
      <c r="T160">
        <v>-0.18488606648203271</v>
      </c>
      <c r="U160">
        <v>0.25733308416279782</v>
      </c>
      <c r="V160">
        <v>-9.5460210769542642E-2</v>
      </c>
      <c r="W160">
        <v>3.2660505764814177E-2</v>
      </c>
      <c r="X160">
        <v>1.4009418816563601E-2</v>
      </c>
      <c r="Y160">
        <v>-9.0695639382966903E-2</v>
      </c>
      <c r="Z160">
        <v>0.2052611763258323</v>
      </c>
      <c r="AA160">
        <v>-1.346611618363684E-2</v>
      </c>
      <c r="AB160">
        <v>6.0234961554334179E-2</v>
      </c>
      <c r="AC160">
        <v>-0.27949223864417982</v>
      </c>
      <c r="AD160">
        <v>-9.4193034346425258E-2</v>
      </c>
      <c r="AE160">
        <v>0.23943862717657721</v>
      </c>
      <c r="AF160">
        <v>-0.1464509951138247</v>
      </c>
      <c r="AG160">
        <v>0.15113105738129559</v>
      </c>
      <c r="AH160">
        <v>-8.9344299802489716E-2</v>
      </c>
      <c r="AI160">
        <v>-2.041404898578365E-2</v>
      </c>
      <c r="AJ160">
        <v>-7.6561296954713812E-3</v>
      </c>
      <c r="AK160">
        <v>-0.1671951073695831</v>
      </c>
      <c r="AL160">
        <v>7.1436845560859247E-2</v>
      </c>
      <c r="AM160">
        <v>-0.14456893109997579</v>
      </c>
      <c r="AN160">
        <v>0.2652209694651731</v>
      </c>
      <c r="AO160">
        <v>0.27934207956630619</v>
      </c>
      <c r="AP160">
        <v>-0.23332220058881381</v>
      </c>
      <c r="AQ160">
        <v>0.38005527588487642</v>
      </c>
      <c r="AR160">
        <v>7.8410174096278748E-2</v>
      </c>
      <c r="AS160">
        <v>0.28604668373696512</v>
      </c>
      <c r="AT160">
        <v>0.23983507988109959</v>
      </c>
      <c r="AU160">
        <v>0.17984048698681171</v>
      </c>
      <c r="AV160">
        <v>-0.1236072557012606</v>
      </c>
      <c r="AW160">
        <v>0.27348517180416387</v>
      </c>
      <c r="AX160">
        <v>0.32134045710156411</v>
      </c>
    </row>
    <row r="161" spans="1:50" x14ac:dyDescent="0.25">
      <c r="A161">
        <v>-0.1140276635131368</v>
      </c>
      <c r="B161">
        <v>-0.24656941239447289</v>
      </c>
      <c r="C161">
        <v>-0.28854812978197331</v>
      </c>
      <c r="D161">
        <v>0.15950824835460911</v>
      </c>
      <c r="E161">
        <v>-0.1616535764076199</v>
      </c>
      <c r="F161">
        <v>-3.3879367800631333E-2</v>
      </c>
      <c r="G161">
        <v>0.53523373851008693</v>
      </c>
      <c r="H161">
        <v>-0.22586157954323169</v>
      </c>
      <c r="I161">
        <v>-0.23950665012439989</v>
      </c>
      <c r="J161">
        <v>5.4554976249540262E-2</v>
      </c>
      <c r="K161">
        <v>-0.10696657594027879</v>
      </c>
      <c r="L161">
        <v>0.2395395833960654</v>
      </c>
      <c r="M161">
        <v>-0.20463350043804679</v>
      </c>
      <c r="N161">
        <v>0.2213023284269843</v>
      </c>
      <c r="O161">
        <v>0.22647611669659171</v>
      </c>
      <c r="P161">
        <v>0.34781156448138922</v>
      </c>
      <c r="Q161">
        <v>1.300537578192933E-2</v>
      </c>
      <c r="R161">
        <v>3.3727475180800888E-2</v>
      </c>
      <c r="S161">
        <v>7.4820538288634331E-2</v>
      </c>
      <c r="T161">
        <v>0.32997305436153412</v>
      </c>
      <c r="U161">
        <v>6.7579413481229936E-2</v>
      </c>
      <c r="V161">
        <v>-0.1184065276406282</v>
      </c>
      <c r="W161">
        <v>0.1503707997462421</v>
      </c>
      <c r="X161">
        <v>5.3729799609265189E-2</v>
      </c>
      <c r="Y161">
        <v>0.16440876040765551</v>
      </c>
      <c r="Z161">
        <v>-0.14094971721288249</v>
      </c>
      <c r="AA161">
        <v>-0.1921903381823945</v>
      </c>
      <c r="AB161">
        <v>0.17093779791441119</v>
      </c>
      <c r="AC161">
        <v>0.27542334047659123</v>
      </c>
      <c r="AD161">
        <v>3.910540668958911E-2</v>
      </c>
      <c r="AE161">
        <v>8.803313886054466E-2</v>
      </c>
      <c r="AF161">
        <v>-0.25469476396707058</v>
      </c>
      <c r="AG161">
        <v>-0.1221851488588606</v>
      </c>
      <c r="AH161">
        <v>-0.1476392579224689</v>
      </c>
      <c r="AI161">
        <v>5.8582737245685301E-2</v>
      </c>
      <c r="AJ161">
        <v>0.18529771469082859</v>
      </c>
      <c r="AK161">
        <v>-0.2626629752494174</v>
      </c>
      <c r="AL161">
        <v>-7.9018765698274152E-2</v>
      </c>
      <c r="AM161">
        <v>0.22489411004831911</v>
      </c>
      <c r="AN161">
        <v>0.40312771755573068</v>
      </c>
      <c r="AO161">
        <v>4.7893753946867207E-2</v>
      </c>
      <c r="AP161">
        <v>-0.40774207810626861</v>
      </c>
      <c r="AQ161">
        <v>0.15030775622385631</v>
      </c>
      <c r="AR161">
        <v>0.39738453576219951</v>
      </c>
      <c r="AS161">
        <v>9.3842259422820887E-2</v>
      </c>
      <c r="AT161">
        <v>0.29193569939739777</v>
      </c>
      <c r="AU161">
        <v>0.21589083323435951</v>
      </c>
      <c r="AV161">
        <v>0.45033096847792708</v>
      </c>
      <c r="AW161">
        <v>-0.2252061478299314</v>
      </c>
      <c r="AX161">
        <v>-5.4605325703612248E-2</v>
      </c>
    </row>
    <row r="162" spans="1:50" x14ac:dyDescent="0.25">
      <c r="A162">
        <v>5.2559906767929751E-2</v>
      </c>
      <c r="B162">
        <v>-0.13109353787686889</v>
      </c>
      <c r="C162">
        <v>9.7103008937033303E-2</v>
      </c>
      <c r="D162">
        <v>0.1473564267096539</v>
      </c>
      <c r="E162">
        <v>0.16362381784298519</v>
      </c>
      <c r="F162">
        <v>4.2815228203207857E-2</v>
      </c>
      <c r="G162">
        <v>-0.15600387043104849</v>
      </c>
      <c r="H162">
        <v>4.5427289618874059E-2</v>
      </c>
      <c r="I162">
        <v>3.9314159182332747E-2</v>
      </c>
      <c r="J162">
        <v>0.20837052614095081</v>
      </c>
      <c r="K162">
        <v>0.29176876748433522</v>
      </c>
      <c r="L162">
        <v>7.3493508119620271E-2</v>
      </c>
      <c r="M162">
        <v>8.8554546009255261E-2</v>
      </c>
      <c r="N162">
        <v>0.1045528891230685</v>
      </c>
      <c r="O162">
        <v>0.17830452056178289</v>
      </c>
      <c r="P162">
        <v>-8.6882848838214621E-2</v>
      </c>
      <c r="Q162">
        <v>-0.12630310921558399</v>
      </c>
      <c r="R162">
        <v>-9.4884780282503897E-2</v>
      </c>
      <c r="S162">
        <v>0.1987248222797236</v>
      </c>
      <c r="T162">
        <v>0.17271562544230479</v>
      </c>
      <c r="U162">
        <v>0.24716355278880739</v>
      </c>
      <c r="V162">
        <v>0.15130637390209231</v>
      </c>
      <c r="W162">
        <v>5.3932541221031978E-2</v>
      </c>
      <c r="X162">
        <v>-5.5805671255786332E-4</v>
      </c>
      <c r="Y162">
        <v>-0.12232302190581799</v>
      </c>
      <c r="Z162">
        <v>-6.0032847345580558E-2</v>
      </c>
      <c r="AA162">
        <v>0.15711846868816559</v>
      </c>
      <c r="AB162">
        <v>-0.2135666179368147</v>
      </c>
      <c r="AC162">
        <v>0.20878918376325359</v>
      </c>
      <c r="AD162">
        <v>7.5871294578889747E-2</v>
      </c>
      <c r="AE162">
        <v>-3.5140461419739008E-3</v>
      </c>
      <c r="AF162">
        <v>6.3543049396760407E-2</v>
      </c>
      <c r="AG162">
        <v>0.17977038704548551</v>
      </c>
      <c r="AH162">
        <v>-4.0475160705069957E-2</v>
      </c>
      <c r="AI162">
        <v>-3.644058276582373E-2</v>
      </c>
      <c r="AJ162">
        <v>-0.12945578777567771</v>
      </c>
      <c r="AK162">
        <v>-5.4906787493316532E-2</v>
      </c>
      <c r="AL162">
        <v>0.1699362670428935</v>
      </c>
      <c r="AM162">
        <v>-2.8134178605248979E-2</v>
      </c>
      <c r="AN162">
        <v>-0.18662971341025811</v>
      </c>
      <c r="AO162">
        <v>0.17107413759317541</v>
      </c>
      <c r="AP162">
        <v>9.4890451792230546E-2</v>
      </c>
      <c r="AQ162">
        <v>9.1753868205221537E-2</v>
      </c>
      <c r="AR162">
        <v>-9.12480894859274E-2</v>
      </c>
      <c r="AS162">
        <v>-9.8326639132646471E-2</v>
      </c>
      <c r="AT162">
        <v>0.18866414294972561</v>
      </c>
      <c r="AU162">
        <v>-0.1052257832680716</v>
      </c>
      <c r="AV162">
        <v>4.0092105185883853E-2</v>
      </c>
      <c r="AW162">
        <v>0.1764881333258734</v>
      </c>
      <c r="AX162">
        <v>0.13546805621278771</v>
      </c>
    </row>
    <row r="163" spans="1:50" x14ac:dyDescent="0.25">
      <c r="A163">
        <v>0.198157689575193</v>
      </c>
      <c r="B163">
        <v>3.0265504092574769E-2</v>
      </c>
      <c r="C163">
        <v>0.16704185131710919</v>
      </c>
      <c r="D163">
        <v>-0.15644128154576351</v>
      </c>
      <c r="E163">
        <v>0.22276089289045481</v>
      </c>
      <c r="F163">
        <v>2.6922437263675891E-2</v>
      </c>
      <c r="G163">
        <v>-6.3235770802431882E-2</v>
      </c>
      <c r="H163">
        <v>-4.2649388495535068E-2</v>
      </c>
      <c r="I163">
        <v>0.2499265046308389</v>
      </c>
      <c r="J163">
        <v>0.2014799139593795</v>
      </c>
      <c r="K163">
        <v>0.20790467968504309</v>
      </c>
      <c r="L163">
        <v>-7.8669938864031341E-2</v>
      </c>
      <c r="M163">
        <v>-7.0545441725605451E-2</v>
      </c>
      <c r="N163">
        <v>-4.9324572348798383E-2</v>
      </c>
      <c r="O163">
        <v>0.16067285028157041</v>
      </c>
      <c r="P163">
        <v>-9.5203146635576219E-2</v>
      </c>
      <c r="Q163">
        <v>0.17655692467713521</v>
      </c>
      <c r="R163">
        <v>0.19833626501315449</v>
      </c>
      <c r="S163">
        <v>0.16068907194533399</v>
      </c>
      <c r="T163">
        <v>1.6139167561736729E-2</v>
      </c>
      <c r="U163">
        <v>-3.7325875846361288E-2</v>
      </c>
      <c r="V163">
        <v>-6.0240465173242642E-2</v>
      </c>
      <c r="W163">
        <v>-4.8581113818871209E-2</v>
      </c>
      <c r="X163">
        <v>-0.1274971046886044</v>
      </c>
      <c r="Y163">
        <v>-2.780817750180227E-2</v>
      </c>
      <c r="Z163">
        <v>0.16698394174459649</v>
      </c>
      <c r="AA163">
        <v>7.2963928259711416E-2</v>
      </c>
      <c r="AB163">
        <v>-3.5512027523020247E-2</v>
      </c>
      <c r="AC163">
        <v>8.8730432807724288E-2</v>
      </c>
      <c r="AD163">
        <v>0.1943176567561069</v>
      </c>
      <c r="AE163">
        <v>-4.6149367049782397E-2</v>
      </c>
      <c r="AF163">
        <v>-3.5340740341428603E-2</v>
      </c>
      <c r="AG163">
        <v>0.1220067119995171</v>
      </c>
      <c r="AH163">
        <v>-9.7487015166829033E-2</v>
      </c>
      <c r="AI163">
        <v>3.7634248558525617E-2</v>
      </c>
      <c r="AJ163">
        <v>0.14403804358457761</v>
      </c>
      <c r="AK163">
        <v>0.14483514661684169</v>
      </c>
      <c r="AL163">
        <v>1.320616839638666E-2</v>
      </c>
      <c r="AM163">
        <v>0.1106126613788664</v>
      </c>
      <c r="AN163">
        <v>9.3587359316848986E-2</v>
      </c>
      <c r="AO163">
        <v>-4.4894461639612832E-2</v>
      </c>
      <c r="AP163">
        <v>8.3298489284763022E-2</v>
      </c>
      <c r="AQ163">
        <v>0.1038440814839626</v>
      </c>
      <c r="AR163">
        <v>0.22954775174406181</v>
      </c>
      <c r="AS163">
        <v>0.20236560744249199</v>
      </c>
      <c r="AT163">
        <v>1.477854310145916E-2</v>
      </c>
      <c r="AU163">
        <v>-3.842829892868331E-2</v>
      </c>
      <c r="AV163">
        <v>-8.6230009068919949E-2</v>
      </c>
      <c r="AW163">
        <v>-6.3172836854202302E-2</v>
      </c>
      <c r="AX163">
        <v>-6.1691551628700282E-3</v>
      </c>
    </row>
    <row r="164" spans="1:50" x14ac:dyDescent="0.25">
      <c r="A164">
        <v>-9.4429052501054603E-3</v>
      </c>
      <c r="B164">
        <v>2.2853541226484881E-2</v>
      </c>
      <c r="C164">
        <v>1.296267380272689E-3</v>
      </c>
      <c r="D164">
        <v>1.2259714740694091E-2</v>
      </c>
      <c r="E164">
        <v>4.4018093761643382E-2</v>
      </c>
      <c r="F164">
        <v>4.5973266625403332E-2</v>
      </c>
      <c r="G164">
        <v>1.9942705991201379E-2</v>
      </c>
      <c r="H164">
        <v>-1.0271373609052181E-2</v>
      </c>
      <c r="I164">
        <v>1.32236623937547E-2</v>
      </c>
      <c r="J164">
        <v>5.1041684130873059E-2</v>
      </c>
      <c r="K164">
        <v>7.7670339994469054E-2</v>
      </c>
      <c r="L164">
        <v>-1.36560534631179E-2</v>
      </c>
      <c r="M164">
        <v>-9.7590165971765536E-3</v>
      </c>
      <c r="N164">
        <v>3.3333142789067363E-2</v>
      </c>
      <c r="O164">
        <v>6.1206309866054701E-2</v>
      </c>
      <c r="P164">
        <v>1.317922406858673E-2</v>
      </c>
      <c r="Q164">
        <v>4.6001047788102677E-2</v>
      </c>
      <c r="R164">
        <v>6.5866696047479661E-2</v>
      </c>
      <c r="S164">
        <v>4.6262941060593837E-2</v>
      </c>
      <c r="T164">
        <v>1.0288098054260781E-2</v>
      </c>
      <c r="U164">
        <v>-1.6902700950403401E-2</v>
      </c>
      <c r="V164">
        <v>3.3957280041399383E-2</v>
      </c>
      <c r="W164">
        <v>4.2098203174488889E-2</v>
      </c>
      <c r="X164">
        <v>1.9539990576798619E-3</v>
      </c>
      <c r="Y164">
        <v>7.2847568662331136E-2</v>
      </c>
      <c r="Z164">
        <v>5.4325279610422612E-2</v>
      </c>
      <c r="AA164">
        <v>1.7056194269056829E-2</v>
      </c>
      <c r="AB164">
        <v>6.3990883224169636E-3</v>
      </c>
      <c r="AC164">
        <v>2.5974954907457239E-2</v>
      </c>
      <c r="AD164">
        <v>2.7261993845338849E-2</v>
      </c>
      <c r="AE164">
        <v>-2.6929064753588621E-2</v>
      </c>
      <c r="AF164">
        <v>4.5791821179463607E-2</v>
      </c>
      <c r="AG164">
        <v>5.1703408788358253E-2</v>
      </c>
      <c r="AH164">
        <v>-2.739768255398243E-3</v>
      </c>
      <c r="AI164">
        <v>2.9896501662989499E-2</v>
      </c>
      <c r="AJ164">
        <v>7.1529699007051306E-2</v>
      </c>
      <c r="AK164">
        <v>1.7655511500264599E-2</v>
      </c>
      <c r="AL164">
        <v>3.5812696380543373E-2</v>
      </c>
      <c r="AM164">
        <v>1.8738073468811081E-2</v>
      </c>
      <c r="AN164">
        <v>3.2752584657997963E-2</v>
      </c>
      <c r="AO164">
        <v>4.6433143283615012E-4</v>
      </c>
      <c r="AP164">
        <v>9.1946738221878044E-3</v>
      </c>
      <c r="AQ164">
        <v>7.6823906067035819E-2</v>
      </c>
      <c r="AR164">
        <v>3.8461639444173627E-2</v>
      </c>
      <c r="AS164">
        <v>2.7702275100893511E-2</v>
      </c>
      <c r="AT164">
        <v>-4.0728781858950262E-3</v>
      </c>
      <c r="AU164">
        <v>9.7562184302004973E-3</v>
      </c>
      <c r="AV164">
        <v>2.064655194711986E-3</v>
      </c>
      <c r="AW164">
        <v>5.132002110222806E-2</v>
      </c>
      <c r="AX164">
        <v>8.5763197809557382E-3</v>
      </c>
    </row>
    <row r="165" spans="1:50" x14ac:dyDescent="0.25">
      <c r="A165">
        <v>2.732626595425927E-3</v>
      </c>
      <c r="B165">
        <v>-1.5979345535515579E-2</v>
      </c>
      <c r="C165">
        <v>-1.2647089756754311E-3</v>
      </c>
      <c r="D165">
        <v>-3.5206128439334877E-2</v>
      </c>
      <c r="E165">
        <v>-0.12803178917324989</v>
      </c>
      <c r="F165">
        <v>2.4272196909277219E-2</v>
      </c>
      <c r="G165">
        <v>-3.6354640912736789E-2</v>
      </c>
      <c r="H165">
        <v>-1.3082722840450091E-4</v>
      </c>
      <c r="I165">
        <v>-1.18378241981274E-2</v>
      </c>
      <c r="J165">
        <v>3.2502597792155682E-2</v>
      </c>
      <c r="K165">
        <v>-0.14304483303651569</v>
      </c>
      <c r="L165">
        <v>-1.282542685635735E-2</v>
      </c>
      <c r="M165">
        <v>1.5738976030700961E-2</v>
      </c>
      <c r="N165">
        <v>1.9291258673846311E-2</v>
      </c>
      <c r="O165">
        <v>0.16273305852288411</v>
      </c>
      <c r="P165">
        <v>1.8677127926176561E-2</v>
      </c>
      <c r="Q165">
        <v>-1.053374707962163E-2</v>
      </c>
      <c r="R165">
        <v>1.7389756658799719E-2</v>
      </c>
      <c r="S165">
        <v>-8.0661434511791641E-2</v>
      </c>
      <c r="T165">
        <v>-1.549646541676272E-3</v>
      </c>
      <c r="U165">
        <v>0.16861003851657189</v>
      </c>
      <c r="V165">
        <v>9.2026934974203278E-2</v>
      </c>
      <c r="W165">
        <v>2.5898945859337479E-2</v>
      </c>
      <c r="X165">
        <v>7.5418889670128804E-3</v>
      </c>
      <c r="Y165">
        <v>7.1992097432493143E-2</v>
      </c>
      <c r="Z165">
        <v>-2.715387190458219E-2</v>
      </c>
      <c r="AA165">
        <v>0.15154979061415541</v>
      </c>
      <c r="AB165">
        <v>2.032057685881283E-2</v>
      </c>
      <c r="AC165">
        <v>-6.752638058926932E-3</v>
      </c>
      <c r="AD165">
        <v>3.3518693808944233E-2</v>
      </c>
      <c r="AE165">
        <v>-2.155382550554559E-2</v>
      </c>
      <c r="AF165">
        <v>6.9778722576246704E-2</v>
      </c>
      <c r="AG165">
        <v>-0.1758169951669572</v>
      </c>
      <c r="AH165">
        <v>-4.1738300990841082E-2</v>
      </c>
      <c r="AI165">
        <v>-8.4935337961049046E-2</v>
      </c>
      <c r="AJ165">
        <v>4.3126142874067762E-2</v>
      </c>
      <c r="AK165">
        <v>-1.1622682390941601E-2</v>
      </c>
      <c r="AL165">
        <v>0.11850972121415861</v>
      </c>
      <c r="AM165">
        <v>-5.8211523416190257E-2</v>
      </c>
      <c r="AN165">
        <v>1.6609140144578791E-2</v>
      </c>
      <c r="AO165">
        <v>-3.5475575523247233E-2</v>
      </c>
      <c r="AP165">
        <v>-2.8956326857794919E-2</v>
      </c>
      <c r="AQ165">
        <v>7.2187211586469319E-2</v>
      </c>
      <c r="AR165">
        <v>-2.4300924829568402E-2</v>
      </c>
      <c r="AS165">
        <v>-1.006581710853467E-2</v>
      </c>
      <c r="AT165">
        <v>-5.5740568608261723E-2</v>
      </c>
      <c r="AU165">
        <v>8.3597990158028088E-2</v>
      </c>
      <c r="AV165">
        <v>2.789209801973833E-2</v>
      </c>
      <c r="AW165">
        <v>-2.2523840384881519E-2</v>
      </c>
      <c r="AX165">
        <v>0.1068980599510081</v>
      </c>
    </row>
    <row r="166" spans="1:50" x14ac:dyDescent="0.25">
      <c r="A166">
        <v>0.110015007745642</v>
      </c>
      <c r="B166">
        <v>0.1023297947092526</v>
      </c>
      <c r="C166">
        <v>-6.3007082321886636E-3</v>
      </c>
      <c r="D166">
        <v>-1.6392242170657281E-2</v>
      </c>
      <c r="E166">
        <v>-0.16450368372538501</v>
      </c>
      <c r="F166">
        <v>0.2437593519971053</v>
      </c>
      <c r="G166">
        <v>1.1752161883750639E-2</v>
      </c>
      <c r="H166">
        <v>-3.3895821046561032E-2</v>
      </c>
      <c r="I166">
        <v>-6.054655391112887E-2</v>
      </c>
      <c r="J166">
        <v>0.10206693502625511</v>
      </c>
      <c r="K166">
        <v>-9.8770482022456224E-2</v>
      </c>
      <c r="L166">
        <v>-0.13002559598138491</v>
      </c>
      <c r="M166">
        <v>-8.1613657385195992E-2</v>
      </c>
      <c r="N166">
        <v>6.5664800056527944E-2</v>
      </c>
      <c r="O166">
        <v>7.2970173393366214E-2</v>
      </c>
      <c r="P166">
        <v>5.5425722622130337E-2</v>
      </c>
      <c r="Q166">
        <v>-3.4209765628823517E-2</v>
      </c>
      <c r="R166">
        <v>4.3407899944063078E-2</v>
      </c>
      <c r="S166">
        <v>0.18064711102381109</v>
      </c>
      <c r="T166">
        <v>4.8431280393026979E-2</v>
      </c>
      <c r="U166">
        <v>-4.6887810382863257E-2</v>
      </c>
      <c r="V166">
        <v>0.148573199921434</v>
      </c>
      <c r="W166">
        <v>-0.1286093888654799</v>
      </c>
      <c r="X166">
        <v>9.289147278001543E-3</v>
      </c>
      <c r="Y166">
        <v>-8.5541722601022316E-2</v>
      </c>
      <c r="Z166">
        <v>7.2308389758687655E-2</v>
      </c>
      <c r="AA166">
        <v>1.6865097286268119E-2</v>
      </c>
      <c r="AB166">
        <v>-0.1102186359982322</v>
      </c>
      <c r="AC166">
        <v>0.23411210034730121</v>
      </c>
      <c r="AD166">
        <v>-3.425863549088267E-2</v>
      </c>
      <c r="AE166">
        <v>-2.112540389755006E-3</v>
      </c>
      <c r="AF166">
        <v>0.16763812888738039</v>
      </c>
      <c r="AG166">
        <v>-0.14143049692397919</v>
      </c>
      <c r="AH166">
        <v>0.16516820034154031</v>
      </c>
      <c r="AI166">
        <v>3.5413297688014628E-2</v>
      </c>
      <c r="AJ166">
        <v>4.9310254475325957E-2</v>
      </c>
      <c r="AK166">
        <v>-2.987481998293591E-2</v>
      </c>
      <c r="AL166">
        <v>-4.8328617623683963E-2</v>
      </c>
      <c r="AM166">
        <v>-0.16313541253014391</v>
      </c>
      <c r="AN166">
        <v>-0.10570863741478891</v>
      </c>
      <c r="AO166">
        <v>-2.7644370614362979E-2</v>
      </c>
      <c r="AP166">
        <v>5.2253847435592433E-3</v>
      </c>
      <c r="AQ166">
        <v>6.6141442652130206E-2</v>
      </c>
      <c r="AR166">
        <v>-4.9937594147255952E-2</v>
      </c>
      <c r="AS166">
        <v>0.18789059271076761</v>
      </c>
      <c r="AT166">
        <v>-1.938802919594226E-2</v>
      </c>
      <c r="AU166">
        <v>2.4436556931157129E-2</v>
      </c>
      <c r="AV166">
        <v>0.14800723413977271</v>
      </c>
      <c r="AW166">
        <v>-6.2441503710762063E-2</v>
      </c>
      <c r="AX166">
        <v>-4.5660064749084947E-2</v>
      </c>
    </row>
    <row r="167" spans="1:50" x14ac:dyDescent="0.25">
      <c r="A167">
        <v>7.3998516678719123E-2</v>
      </c>
      <c r="B167">
        <v>0.16779200934770269</v>
      </c>
      <c r="C167">
        <v>-0.23938470785827981</v>
      </c>
      <c r="D167">
        <v>0.16371373662142921</v>
      </c>
      <c r="E167">
        <v>1.6842357385322779E-2</v>
      </c>
      <c r="F167">
        <v>7.9085617450324275E-2</v>
      </c>
      <c r="G167">
        <v>0.12948694220783349</v>
      </c>
      <c r="H167">
        <v>-0.28241331204275982</v>
      </c>
      <c r="I167">
        <v>-0.2090289597676335</v>
      </c>
      <c r="J167">
        <v>-1.7276861221351081E-2</v>
      </c>
      <c r="K167">
        <v>5.8697891576159143E-2</v>
      </c>
      <c r="L167">
        <v>-4.3606559682152109E-2</v>
      </c>
      <c r="M167">
        <v>7.4206599416305752E-2</v>
      </c>
      <c r="N167">
        <v>0.14804751393516341</v>
      </c>
      <c r="O167">
        <v>0.207463475696544</v>
      </c>
      <c r="P167">
        <v>8.3922112928833167E-3</v>
      </c>
      <c r="Q167">
        <v>-0.1044245624347771</v>
      </c>
      <c r="R167">
        <v>0.61426282156039647</v>
      </c>
      <c r="S167">
        <v>1.7686001121784971E-2</v>
      </c>
      <c r="T167">
        <v>-0.2228794579298175</v>
      </c>
      <c r="U167">
        <v>0.29335898421658219</v>
      </c>
      <c r="V167">
        <v>0.14682421833960679</v>
      </c>
      <c r="W167">
        <v>0.1190374851374176</v>
      </c>
      <c r="X167">
        <v>8.9076549965499546E-2</v>
      </c>
      <c r="Y167">
        <v>0.37997971762037669</v>
      </c>
      <c r="Z167">
        <v>4.1490175291057441E-3</v>
      </c>
      <c r="AA167">
        <v>0.19694873041430069</v>
      </c>
      <c r="AB167">
        <v>6.4967669169247386E-2</v>
      </c>
      <c r="AC167">
        <v>0.47441966057153701</v>
      </c>
      <c r="AD167">
        <v>-0.33365245886096517</v>
      </c>
      <c r="AE167">
        <v>0.26169917785349528</v>
      </c>
      <c r="AF167">
        <v>0.214410770535053</v>
      </c>
      <c r="AG167">
        <v>4.0305727234915219E-2</v>
      </c>
      <c r="AH167">
        <v>-0.1469062615555321</v>
      </c>
      <c r="AI167">
        <v>0.1207816479118491</v>
      </c>
      <c r="AJ167">
        <v>0.16741143020624499</v>
      </c>
      <c r="AK167">
        <v>-0.21314241202624709</v>
      </c>
      <c r="AL167">
        <v>0.13070245645873871</v>
      </c>
      <c r="AM167">
        <v>0.46602994245906287</v>
      </c>
      <c r="AN167">
        <v>0.16527518231323021</v>
      </c>
      <c r="AO167">
        <v>0.20231842927108271</v>
      </c>
      <c r="AP167">
        <v>-0.20327825671815281</v>
      </c>
      <c r="AQ167">
        <v>-0.34354439625479399</v>
      </c>
      <c r="AR167">
        <v>0.27909049406758951</v>
      </c>
      <c r="AS167">
        <v>-7.7787669383542951E-2</v>
      </c>
      <c r="AT167">
        <v>0.31116089845401518</v>
      </c>
      <c r="AU167">
        <v>-0.19741094580745719</v>
      </c>
      <c r="AV167">
        <v>0.45606553317492948</v>
      </c>
      <c r="AW167">
        <v>-5.6059989399683506E-3</v>
      </c>
      <c r="AX167">
        <v>-0.27395820192186321</v>
      </c>
    </row>
    <row r="168" spans="1:50" x14ac:dyDescent="0.25">
      <c r="A168">
        <v>7.9323417436293703E-2</v>
      </c>
      <c r="B168">
        <v>-0.20144073471511559</v>
      </c>
      <c r="C168">
        <v>2.9279433442603291E-3</v>
      </c>
      <c r="D168">
        <v>-0.13280907194941979</v>
      </c>
      <c r="E168">
        <v>2.764648416651299E-2</v>
      </c>
      <c r="F168">
        <v>4.5872568430656152E-3</v>
      </c>
      <c r="G168">
        <v>-0.12825483256155321</v>
      </c>
      <c r="H168">
        <v>0.25362492836693812</v>
      </c>
      <c r="I168">
        <v>-6.6642389536112109E-2</v>
      </c>
      <c r="J168">
        <v>2.3133177965041291E-2</v>
      </c>
      <c r="K168">
        <v>0.23349876243178039</v>
      </c>
      <c r="L168">
        <v>-3.3279185001178872E-2</v>
      </c>
      <c r="M168">
        <v>-0.1364014260889401</v>
      </c>
      <c r="N168">
        <v>0.18443114740984551</v>
      </c>
      <c r="O168">
        <v>0.2260307528438272</v>
      </c>
      <c r="P168">
        <v>6.4714961078060573E-2</v>
      </c>
      <c r="Q168">
        <v>-4.8599250861884991E-2</v>
      </c>
      <c r="R168">
        <v>-6.8092928261650601E-2</v>
      </c>
      <c r="S168">
        <v>-6.7818632678884785E-2</v>
      </c>
      <c r="T168">
        <v>-3.7723923292303993E-2</v>
      </c>
      <c r="U168">
        <v>-0.1107771957545837</v>
      </c>
      <c r="V168">
        <v>-0.1752504702334248</v>
      </c>
      <c r="W168">
        <v>-0.11738636661258731</v>
      </c>
      <c r="X168">
        <v>-9.917941245181823E-2</v>
      </c>
      <c r="Y168">
        <v>9.7059561284993393E-2</v>
      </c>
      <c r="Z168">
        <v>5.4818746965943103E-3</v>
      </c>
      <c r="AA168">
        <v>-0.14617758892846269</v>
      </c>
      <c r="AB168">
        <v>-0.20258266913201389</v>
      </c>
      <c r="AC168">
        <v>-0.1248836485297105</v>
      </c>
      <c r="AD168">
        <v>-0.16233385908323811</v>
      </c>
      <c r="AE168">
        <v>0.13979008670432971</v>
      </c>
      <c r="AF168">
        <v>0.13928275560285869</v>
      </c>
      <c r="AG168">
        <v>-5.2058686851688088E-2</v>
      </c>
      <c r="AH168">
        <v>-9.4215867724751309E-2</v>
      </c>
      <c r="AI168">
        <v>-0.16802181378608921</v>
      </c>
      <c r="AJ168">
        <v>-0.14214614055952959</v>
      </c>
      <c r="AK168">
        <v>-4.2703347685901033E-2</v>
      </c>
      <c r="AL168">
        <v>-9.7919150256809848E-2</v>
      </c>
      <c r="AM168">
        <v>-0.1032944455843573</v>
      </c>
      <c r="AN168">
        <v>-0.1344812072060835</v>
      </c>
      <c r="AO168">
        <v>-0.17891877573709961</v>
      </c>
      <c r="AP168">
        <v>-0.2020326346139914</v>
      </c>
      <c r="AQ168">
        <v>0.21544794088365621</v>
      </c>
      <c r="AR168">
        <v>-9.7650506624268746E-3</v>
      </c>
      <c r="AS168">
        <v>0.12205939644758609</v>
      </c>
      <c r="AT168">
        <v>-6.375065448977793E-2</v>
      </c>
      <c r="AU168">
        <v>0.26320985176551431</v>
      </c>
      <c r="AV168">
        <v>-0.1279277538633668</v>
      </c>
      <c r="AW168">
        <v>-8.0093992813988338E-2</v>
      </c>
      <c r="AX168">
        <v>-3.8011510987508587E-2</v>
      </c>
    </row>
    <row r="169" spans="1:50" x14ac:dyDescent="0.25">
      <c r="A169">
        <v>0.30577964100155841</v>
      </c>
      <c r="B169">
        <v>-7.0304064397264554E-2</v>
      </c>
      <c r="C169">
        <v>-0.37821247762799248</v>
      </c>
      <c r="D169">
        <v>-0.1905249412297591</v>
      </c>
      <c r="E169">
        <v>-0.14270703620208949</v>
      </c>
      <c r="F169">
        <v>-0.20634807560311491</v>
      </c>
      <c r="G169">
        <v>-0.36975856095160742</v>
      </c>
      <c r="H169">
        <v>2.7761446959547069E-2</v>
      </c>
      <c r="I169">
        <v>-0.26377632672451612</v>
      </c>
      <c r="J169">
        <v>-0.1126024847090424</v>
      </c>
      <c r="K169">
        <v>0.40531625957729522</v>
      </c>
      <c r="L169">
        <v>0.16895655756057301</v>
      </c>
      <c r="M169">
        <v>-0.35688590633816891</v>
      </c>
      <c r="N169">
        <v>9.7993366993906032E-3</v>
      </c>
      <c r="O169">
        <v>3.5001399750591647E-2</v>
      </c>
      <c r="P169">
        <v>0.25929052614410331</v>
      </c>
      <c r="Q169">
        <v>8.3630457652711154E-2</v>
      </c>
      <c r="R169">
        <v>9.3168377659475041E-2</v>
      </c>
      <c r="S169">
        <v>0.1314350547200962</v>
      </c>
      <c r="T169">
        <v>-0.19158174325257249</v>
      </c>
      <c r="U169">
        <v>4.7911590884626737E-2</v>
      </c>
      <c r="V169">
        <v>0.14610014047318121</v>
      </c>
      <c r="W169">
        <v>0.213561654961685</v>
      </c>
      <c r="X169">
        <v>-0.2921524400520723</v>
      </c>
      <c r="Y169">
        <v>1.2693785386629739E-2</v>
      </c>
      <c r="Z169">
        <v>-0.16524580481696741</v>
      </c>
      <c r="AA169">
        <v>-0.18094011866496101</v>
      </c>
      <c r="AB169">
        <v>0.34633741693110542</v>
      </c>
      <c r="AC169">
        <v>-0.34907804482842769</v>
      </c>
      <c r="AD169">
        <v>0.2468322252614879</v>
      </c>
      <c r="AE169">
        <v>-0.22180156350170541</v>
      </c>
      <c r="AF169">
        <v>0.32511813749744439</v>
      </c>
      <c r="AG169">
        <v>-0.1181432498240628</v>
      </c>
      <c r="AH169">
        <v>0.34866283128658471</v>
      </c>
      <c r="AI169">
        <v>0.1561338101690577</v>
      </c>
      <c r="AJ169">
        <v>-0.13471542224634259</v>
      </c>
      <c r="AK169">
        <v>-0.16090397838395001</v>
      </c>
      <c r="AL169">
        <v>-0.18642909768927499</v>
      </c>
      <c r="AM169">
        <v>0.52498991946106355</v>
      </c>
      <c r="AN169">
        <v>-0.2080346004372412</v>
      </c>
      <c r="AO169">
        <v>-1.331482111741257E-2</v>
      </c>
      <c r="AP169">
        <v>4.6169982322143102E-2</v>
      </c>
      <c r="AQ169">
        <v>0.47868241078635981</v>
      </c>
      <c r="AR169">
        <v>7.7091676842334561E-2</v>
      </c>
      <c r="AS169">
        <v>-2.2388713683266181E-2</v>
      </c>
      <c r="AT169">
        <v>-0.1215426273382941</v>
      </c>
      <c r="AU169">
        <v>-0.16581042915479149</v>
      </c>
      <c r="AV169">
        <v>-0.22555537943389289</v>
      </c>
      <c r="AW169">
        <v>-0.35574874811091622</v>
      </c>
      <c r="AX169">
        <v>8.1719906646843962E-2</v>
      </c>
    </row>
    <row r="170" spans="1:50" x14ac:dyDescent="0.25">
      <c r="A170">
        <v>-0.13972123257556729</v>
      </c>
      <c r="B170">
        <v>0.25087554809212131</v>
      </c>
      <c r="C170">
        <v>0.22573587227956099</v>
      </c>
      <c r="D170">
        <v>0.26337035176916129</v>
      </c>
      <c r="E170">
        <v>-6.6651619481898142E-2</v>
      </c>
      <c r="F170">
        <v>0.4022216137058397</v>
      </c>
      <c r="G170">
        <v>0.18118143231921049</v>
      </c>
      <c r="H170">
        <v>-5.3176989415353967E-2</v>
      </c>
      <c r="I170">
        <v>0.38342873286223489</v>
      </c>
      <c r="J170">
        <v>3.9475500833668518E-3</v>
      </c>
      <c r="K170">
        <v>0.37657703705648538</v>
      </c>
      <c r="L170">
        <v>-0.13581278373483721</v>
      </c>
      <c r="M170">
        <v>0.1684769396563896</v>
      </c>
      <c r="N170">
        <v>0.2363860334601702</v>
      </c>
      <c r="O170">
        <v>0.34373920147855841</v>
      </c>
      <c r="P170">
        <v>-0.25658740911968358</v>
      </c>
      <c r="Q170">
        <v>0.26171444206990369</v>
      </c>
      <c r="R170">
        <v>3.3246251802713659E-3</v>
      </c>
      <c r="S170">
        <v>-0.1007592974935437</v>
      </c>
      <c r="T170">
        <v>-1.532116995385571E-2</v>
      </c>
      <c r="U170">
        <v>-0.30393120289202291</v>
      </c>
      <c r="V170">
        <v>-0.10279705597424781</v>
      </c>
      <c r="W170">
        <v>-6.6755876248888693E-2</v>
      </c>
      <c r="X170">
        <v>-8.8974936525562348E-2</v>
      </c>
      <c r="Y170">
        <v>0.13722269668819501</v>
      </c>
      <c r="Z170">
        <v>0.26008400981377422</v>
      </c>
      <c r="AA170">
        <v>-3.3093826248236917E-2</v>
      </c>
      <c r="AB170">
        <v>6.4309572467410633E-2</v>
      </c>
      <c r="AC170">
        <v>7.5555687406904215E-2</v>
      </c>
      <c r="AD170">
        <v>0.13868993942926611</v>
      </c>
      <c r="AE170">
        <v>-0.19380378338477641</v>
      </c>
      <c r="AF170">
        <v>-8.5429931631233386E-2</v>
      </c>
      <c r="AG170">
        <v>-0.12769567899846029</v>
      </c>
      <c r="AH170">
        <v>-0.13456810842030659</v>
      </c>
      <c r="AI170">
        <v>3.3254335621632818E-2</v>
      </c>
      <c r="AJ170">
        <v>0.1873280445843146</v>
      </c>
      <c r="AK170">
        <v>0.32984744879853001</v>
      </c>
      <c r="AL170">
        <v>9.7261998643028459E-3</v>
      </c>
      <c r="AM170">
        <v>-4.9235345952879567E-2</v>
      </c>
      <c r="AN170">
        <v>0.1528123099331721</v>
      </c>
      <c r="AO170">
        <v>0.20690444878938241</v>
      </c>
      <c r="AP170">
        <v>-5.0723928309189363E-2</v>
      </c>
      <c r="AQ170">
        <v>-0.23325517247628741</v>
      </c>
      <c r="AR170">
        <v>0.20846120801788881</v>
      </c>
      <c r="AS170">
        <v>-1.1657671641889709E-2</v>
      </c>
      <c r="AT170">
        <v>0.20072772548575371</v>
      </c>
      <c r="AU170">
        <v>0.14169263871052359</v>
      </c>
      <c r="AV170">
        <v>3.434704955032398E-3</v>
      </c>
      <c r="AW170">
        <v>-6.342482584623596E-2</v>
      </c>
      <c r="AX170">
        <v>0.24022880347594061</v>
      </c>
    </row>
    <row r="171" spans="1:50" x14ac:dyDescent="0.25">
      <c r="A171">
        <v>-8.3181396618144263E-2</v>
      </c>
      <c r="B171">
        <v>-0.13361593090150789</v>
      </c>
      <c r="C171">
        <v>-3.4467037906575418E-2</v>
      </c>
      <c r="D171">
        <v>0.25291347395461322</v>
      </c>
      <c r="E171">
        <v>0.2995166969183129</v>
      </c>
      <c r="F171">
        <v>2.6543991697218421E-2</v>
      </c>
      <c r="G171">
        <v>-3.4169464029895888E-2</v>
      </c>
      <c r="H171">
        <v>-0.1189158926223067</v>
      </c>
      <c r="I171">
        <v>-0.1088853016368322</v>
      </c>
      <c r="J171">
        <v>-7.8328318734656718E-2</v>
      </c>
      <c r="K171">
        <v>0.1095932782537781</v>
      </c>
      <c r="L171">
        <v>-7.8142822542944121E-2</v>
      </c>
      <c r="M171">
        <v>-7.0774896038549306E-2</v>
      </c>
      <c r="N171">
        <v>0.20287228447416891</v>
      </c>
      <c r="O171">
        <v>0.26945009979160511</v>
      </c>
      <c r="P171">
        <v>0.2394000688120794</v>
      </c>
      <c r="Q171">
        <v>-0.2050039588696794</v>
      </c>
      <c r="R171">
        <v>2.282561959359157E-2</v>
      </c>
      <c r="S171">
        <v>-0.1150180954648494</v>
      </c>
      <c r="T171">
        <v>8.7398151046164593E-2</v>
      </c>
      <c r="U171">
        <v>0.1358500286022237</v>
      </c>
      <c r="V171">
        <v>-0.20033241289472101</v>
      </c>
      <c r="W171">
        <v>0.1239733919123701</v>
      </c>
      <c r="X171">
        <v>-4.5740745967567657E-2</v>
      </c>
      <c r="Y171">
        <v>-0.15640290289623551</v>
      </c>
      <c r="Z171">
        <v>0.2411306006187085</v>
      </c>
      <c r="AA171">
        <v>-4.647782639771357E-2</v>
      </c>
      <c r="AB171">
        <v>-0.1100795209430443</v>
      </c>
      <c r="AC171">
        <v>-3.7256896867410627E-2</v>
      </c>
      <c r="AD171">
        <v>0.2462201063402637</v>
      </c>
      <c r="AE171">
        <v>-9.3184325457616485E-2</v>
      </c>
      <c r="AF171">
        <v>-6.8413733864417292E-2</v>
      </c>
      <c r="AG171">
        <v>-9.0870261442359254E-2</v>
      </c>
      <c r="AH171">
        <v>0.32960645942916561</v>
      </c>
      <c r="AI171">
        <v>0.16466630162866441</v>
      </c>
      <c r="AJ171">
        <v>0.12762926600368571</v>
      </c>
      <c r="AK171">
        <v>-8.8926966205930352E-2</v>
      </c>
      <c r="AL171">
        <v>-0.21396404833543631</v>
      </c>
      <c r="AM171">
        <v>-0.16617717494775891</v>
      </c>
      <c r="AN171">
        <v>0.1145799458050317</v>
      </c>
      <c r="AO171">
        <v>-4.745533731893363E-2</v>
      </c>
      <c r="AP171">
        <v>-0.1892435455299489</v>
      </c>
      <c r="AQ171">
        <v>-0.14403331130160821</v>
      </c>
      <c r="AR171">
        <v>1.921408738648548E-2</v>
      </c>
      <c r="AS171">
        <v>0.21285995177762271</v>
      </c>
      <c r="AT171">
        <v>3.0523398158159382E-2</v>
      </c>
      <c r="AU171">
        <v>8.3356471860013923E-2</v>
      </c>
      <c r="AV171">
        <v>-6.1679516362278017E-2</v>
      </c>
      <c r="AW171">
        <v>0.20725002010292881</v>
      </c>
      <c r="AX171">
        <v>-0.13360302044309191</v>
      </c>
    </row>
    <row r="172" spans="1:50" x14ac:dyDescent="0.25">
      <c r="A172">
        <v>-0.32755314478910719</v>
      </c>
      <c r="B172">
        <v>-8.0716676545285845E-2</v>
      </c>
      <c r="C172">
        <v>-0.30198373731719641</v>
      </c>
      <c r="D172">
        <v>0.22622790015437619</v>
      </c>
      <c r="E172">
        <v>-0.1121887631090529</v>
      </c>
      <c r="F172">
        <v>0.33632809177245693</v>
      </c>
      <c r="G172">
        <v>-0.2073833103965442</v>
      </c>
      <c r="H172">
        <v>-0.28807929645180957</v>
      </c>
      <c r="I172">
        <v>-0.35094954771659681</v>
      </c>
      <c r="J172">
        <v>-0.1585409295339264</v>
      </c>
      <c r="K172">
        <v>0.14541689490335691</v>
      </c>
      <c r="L172">
        <v>0.25067697982471449</v>
      </c>
      <c r="M172">
        <v>-0.14804085692601801</v>
      </c>
      <c r="N172">
        <v>-0.19906410240789629</v>
      </c>
      <c r="O172">
        <v>-0.14112553250306981</v>
      </c>
      <c r="P172">
        <v>0.5161043931298992</v>
      </c>
      <c r="Q172">
        <v>-0.12548345018110421</v>
      </c>
      <c r="R172">
        <v>0.28844340195506418</v>
      </c>
      <c r="S172">
        <v>0.1626454105823511</v>
      </c>
      <c r="T172">
        <v>0.14330526397089721</v>
      </c>
      <c r="U172">
        <v>8.5169828574365558E-2</v>
      </c>
      <c r="V172">
        <v>0.1036848970902807</v>
      </c>
      <c r="W172">
        <v>-0.27905807586826459</v>
      </c>
      <c r="X172">
        <v>-0.1105321223199128</v>
      </c>
      <c r="Y172">
        <v>0.5562357843570207</v>
      </c>
      <c r="Z172">
        <v>0.20135764560002731</v>
      </c>
      <c r="AA172">
        <v>-0.21439223828086271</v>
      </c>
      <c r="AB172">
        <v>6.4775603376087898E-2</v>
      </c>
      <c r="AC172">
        <v>0.28590201032055018</v>
      </c>
      <c r="AD172">
        <v>-0.25995936093354433</v>
      </c>
      <c r="AE172">
        <v>-0.23783305688997061</v>
      </c>
      <c r="AF172">
        <v>0.51071789955109925</v>
      </c>
      <c r="AG172">
        <v>0.33698996923214491</v>
      </c>
      <c r="AH172">
        <v>0.26655569307255428</v>
      </c>
      <c r="AI172">
        <v>-0.2472064921986937</v>
      </c>
      <c r="AJ172">
        <v>0.17253555074881169</v>
      </c>
      <c r="AK172">
        <v>0.42868718626231228</v>
      </c>
      <c r="AL172">
        <v>-0.26289854715916988</v>
      </c>
      <c r="AM172">
        <v>-0.3065047986425678</v>
      </c>
      <c r="AN172">
        <v>0.32022279352000349</v>
      </c>
      <c r="AO172">
        <v>1.4364540720619051E-2</v>
      </c>
      <c r="AP172">
        <v>-0.28344861961242518</v>
      </c>
      <c r="AQ172">
        <v>5.5151989322831357E-2</v>
      </c>
      <c r="AR172">
        <v>0.2465045405744638</v>
      </c>
      <c r="AS172">
        <v>-0.12636318011654071</v>
      </c>
      <c r="AT172">
        <v>-0.31276707149952288</v>
      </c>
      <c r="AU172">
        <v>-0.21173140573804691</v>
      </c>
      <c r="AV172">
        <v>0.50700684639848093</v>
      </c>
      <c r="AW172">
        <v>-8.306137166401166E-2</v>
      </c>
      <c r="AX172">
        <v>0.1188364029601876</v>
      </c>
    </row>
    <row r="173" spans="1:50" x14ac:dyDescent="0.25">
      <c r="A173">
        <v>-0.114750419871154</v>
      </c>
      <c r="B173">
        <v>-0.1297237639249714</v>
      </c>
      <c r="C173">
        <v>-0.2097399152358462</v>
      </c>
      <c r="D173">
        <v>-9.0338644520060171E-2</v>
      </c>
      <c r="E173">
        <v>-7.8731660188314706E-2</v>
      </c>
      <c r="F173">
        <v>-0.1181075421349438</v>
      </c>
      <c r="G173">
        <v>8.6576756219000711E-2</v>
      </c>
      <c r="H173">
        <v>0.1421164666977062</v>
      </c>
      <c r="I173">
        <v>0.22823524659641101</v>
      </c>
      <c r="J173">
        <v>4.9571836298675509E-2</v>
      </c>
      <c r="K173">
        <v>0.14544521811457811</v>
      </c>
      <c r="L173">
        <v>9.845774374080328E-2</v>
      </c>
      <c r="M173">
        <v>0.21600143858639709</v>
      </c>
      <c r="N173">
        <v>-2.773516050459704E-2</v>
      </c>
      <c r="O173">
        <v>7.3946575788554653E-2</v>
      </c>
      <c r="P173">
        <v>-4.0020670957331667E-2</v>
      </c>
      <c r="Q173">
        <v>-9.7979601072459718E-2</v>
      </c>
      <c r="R173">
        <v>-0.19484777340582951</v>
      </c>
      <c r="S173">
        <v>-6.9902712170883431E-3</v>
      </c>
      <c r="T173">
        <v>9.7568942477785636E-2</v>
      </c>
      <c r="U173">
        <v>-0.15487331903704141</v>
      </c>
      <c r="V173">
        <v>-9.6684469445796437E-2</v>
      </c>
      <c r="W173">
        <v>-4.3987029622471592E-2</v>
      </c>
      <c r="X173">
        <v>-9.3453717133213307E-2</v>
      </c>
      <c r="Y173">
        <v>-2.3872353287041261E-2</v>
      </c>
      <c r="Z173">
        <v>0.2209881334919242</v>
      </c>
      <c r="AA173">
        <v>0.21058662624645669</v>
      </c>
      <c r="AB173">
        <v>-1.6868294549950251E-2</v>
      </c>
      <c r="AC173">
        <v>-2.5107406079537788E-2</v>
      </c>
      <c r="AD173">
        <v>-1.472234262368884E-3</v>
      </c>
      <c r="AE173">
        <v>0.172705821347274</v>
      </c>
      <c r="AF173">
        <v>-0.11072197220133299</v>
      </c>
      <c r="AG173">
        <v>6.0751339062559119E-2</v>
      </c>
      <c r="AH173">
        <v>0.21541702195884421</v>
      </c>
      <c r="AI173">
        <v>-2.0916327289471619E-2</v>
      </c>
      <c r="AJ173">
        <v>0.2040502867070518</v>
      </c>
      <c r="AK173">
        <v>-2.6341633753647321E-2</v>
      </c>
      <c r="AL173">
        <v>0.31983214191960929</v>
      </c>
      <c r="AM173">
        <v>-6.1466684120193182E-2</v>
      </c>
      <c r="AN173">
        <v>-3.5581270816775618E-2</v>
      </c>
      <c r="AO173">
        <v>-9.0545732819972927E-2</v>
      </c>
      <c r="AP173">
        <v>-0.16890555772100591</v>
      </c>
      <c r="AQ173">
        <v>0.15950275301451511</v>
      </c>
      <c r="AR173">
        <v>-1.8156993481195701E-2</v>
      </c>
      <c r="AS173">
        <v>-7.382660380818278E-3</v>
      </c>
      <c r="AT173">
        <v>-3.3550011267915708E-2</v>
      </c>
      <c r="AU173">
        <v>-0.20431256523636299</v>
      </c>
      <c r="AV173">
        <v>-7.1366701496471202E-2</v>
      </c>
      <c r="AW173">
        <v>4.3604323191596328E-3</v>
      </c>
      <c r="AX173">
        <v>-2.7505175400660199E-2</v>
      </c>
    </row>
    <row r="174" spans="1:50" x14ac:dyDescent="0.25">
      <c r="A174">
        <v>-0.14774888460784191</v>
      </c>
      <c r="B174">
        <v>4.9831726783458222E-2</v>
      </c>
      <c r="C174">
        <v>-8.9079884547982546E-2</v>
      </c>
      <c r="D174">
        <v>4.7908969823380373E-2</v>
      </c>
      <c r="E174">
        <v>-0.1077461658290788</v>
      </c>
      <c r="F174">
        <v>2.1222894615518718E-2</v>
      </c>
      <c r="G174">
        <v>-2.475107425394962E-2</v>
      </c>
      <c r="H174">
        <v>-4.4245297280943202E-2</v>
      </c>
      <c r="I174">
        <v>-4.6062004715630538E-3</v>
      </c>
      <c r="J174">
        <v>3.187752023117032E-3</v>
      </c>
      <c r="K174">
        <v>8.4853424774515671E-2</v>
      </c>
      <c r="L174">
        <v>9.2733056580143761E-2</v>
      </c>
      <c r="M174">
        <v>-0.15052350241406359</v>
      </c>
      <c r="N174">
        <v>0.1329153012702832</v>
      </c>
      <c r="O174">
        <v>7.6837206096920213E-2</v>
      </c>
      <c r="P174">
        <v>0.11076698602681739</v>
      </c>
      <c r="Q174">
        <v>-3.2932994395891368E-2</v>
      </c>
      <c r="R174">
        <v>2.5108982422814181E-2</v>
      </c>
      <c r="S174">
        <v>0.1306174256390342</v>
      </c>
      <c r="T174">
        <v>0.1098828575478117</v>
      </c>
      <c r="U174">
        <v>3.7457202375584947E-2</v>
      </c>
      <c r="V174">
        <v>1.832036739040763E-2</v>
      </c>
      <c r="W174">
        <v>-8.2126237227637511E-2</v>
      </c>
      <c r="X174">
        <v>-4.5443148017010757E-2</v>
      </c>
      <c r="Y174">
        <v>4.9274963534226848E-2</v>
      </c>
      <c r="Z174">
        <v>-4.5275036304426386E-3</v>
      </c>
      <c r="AA174">
        <v>-6.8256496061894656E-2</v>
      </c>
      <c r="AB174">
        <v>-3.3385045666067967E-2</v>
      </c>
      <c r="AC174">
        <v>5.2673188898477559E-2</v>
      </c>
      <c r="AD174">
        <v>0.1171461044663394</v>
      </c>
      <c r="AE174">
        <v>0.1153488533985977</v>
      </c>
      <c r="AF174">
        <v>0.11575957155410729</v>
      </c>
      <c r="AG174">
        <v>0.1162277817397061</v>
      </c>
      <c r="AH174">
        <v>0.19587411577604699</v>
      </c>
      <c r="AI174">
        <v>0.13742456027755739</v>
      </c>
      <c r="AJ174">
        <v>-8.3102605471243249E-2</v>
      </c>
      <c r="AK174">
        <v>-0.13227680003830181</v>
      </c>
      <c r="AL174">
        <v>-7.9080585001849224E-2</v>
      </c>
      <c r="AM174">
        <v>-5.7195222025791248E-2</v>
      </c>
      <c r="AN174">
        <v>-2.7744744718555089E-2</v>
      </c>
      <c r="AO174">
        <v>-2.131302041180636E-3</v>
      </c>
      <c r="AP174">
        <v>0.1247493335973142</v>
      </c>
      <c r="AQ174">
        <v>6.5204105832756376E-2</v>
      </c>
      <c r="AR174">
        <v>0.1193708139449921</v>
      </c>
      <c r="AS174">
        <v>-4.0662967453509183E-2</v>
      </c>
      <c r="AT174">
        <v>-7.3447025244813682E-2</v>
      </c>
      <c r="AU174">
        <v>3.360410106550106E-2</v>
      </c>
      <c r="AV174">
        <v>2.0804823087321209E-2</v>
      </c>
      <c r="AW174">
        <v>0.1118630131354795</v>
      </c>
      <c r="AX174">
        <v>-1.065902676586367E-2</v>
      </c>
    </row>
    <row r="175" spans="1:50" x14ac:dyDescent="0.25">
      <c r="A175">
        <v>2.7411995429765901E-3</v>
      </c>
      <c r="B175">
        <v>0.13483418801950331</v>
      </c>
      <c r="C175">
        <v>5.2580135647614899E-2</v>
      </c>
      <c r="D175">
        <v>-6.7380611729538714E-2</v>
      </c>
      <c r="E175">
        <v>1.2193405955319659E-2</v>
      </c>
      <c r="F175">
        <v>-0.1151450605096391</v>
      </c>
      <c r="G175">
        <v>-2.1122070243636981E-4</v>
      </c>
      <c r="H175">
        <v>-0.1258578238096901</v>
      </c>
      <c r="I175">
        <v>9.0536066673952018E-2</v>
      </c>
      <c r="J175">
        <v>0.1034452327748695</v>
      </c>
      <c r="K175">
        <v>0.12905216690546359</v>
      </c>
      <c r="L175">
        <v>-0.16794115220712361</v>
      </c>
      <c r="M175">
        <v>2.124620839165035E-2</v>
      </c>
      <c r="N175">
        <v>1.626219023588002E-2</v>
      </c>
      <c r="O175">
        <v>1.009754732428862E-3</v>
      </c>
      <c r="P175">
        <v>-6.3277050006577584E-4</v>
      </c>
      <c r="Q175">
        <v>-0.1434414958837808</v>
      </c>
      <c r="R175">
        <v>0.1155446033651165</v>
      </c>
      <c r="S175">
        <v>2.2688149255119E-2</v>
      </c>
      <c r="T175">
        <v>9.9609529326508961E-3</v>
      </c>
      <c r="U175">
        <v>-2.7975078013429008E-2</v>
      </c>
      <c r="V175">
        <v>-1.5252477686512771E-2</v>
      </c>
      <c r="W175">
        <v>-0.12720507237293399</v>
      </c>
      <c r="X175">
        <v>-0.10416463322340599</v>
      </c>
      <c r="Y175">
        <v>-3.2390830838796181E-2</v>
      </c>
      <c r="Z175">
        <v>5.4215109686347858E-2</v>
      </c>
      <c r="AA175">
        <v>5.5088403446888777E-2</v>
      </c>
      <c r="AB175">
        <v>-5.0541722911923367E-2</v>
      </c>
      <c r="AC175">
        <v>0.11335884459297881</v>
      </c>
      <c r="AD175">
        <v>-1.5286132439663499E-2</v>
      </c>
      <c r="AE175">
        <v>7.4938837901387337E-3</v>
      </c>
      <c r="AF175">
        <v>0.10055691486554361</v>
      </c>
      <c r="AG175">
        <v>-0.10498120915360649</v>
      </c>
      <c r="AH175">
        <v>-1.900085887995704E-2</v>
      </c>
      <c r="AI175">
        <v>6.0368698942222868E-2</v>
      </c>
      <c r="AJ175">
        <v>1.800297505609371E-2</v>
      </c>
      <c r="AK175">
        <v>-1.2496238198372339E-2</v>
      </c>
      <c r="AL175">
        <v>-5.6134558860427702E-2</v>
      </c>
      <c r="AM175">
        <v>-9.1155210890271926E-2</v>
      </c>
      <c r="AN175">
        <v>0.14053259432509499</v>
      </c>
      <c r="AO175">
        <v>-0.16903173010139791</v>
      </c>
      <c r="AP175">
        <v>-6.6133768891945721E-2</v>
      </c>
      <c r="AQ175">
        <v>-1.4694208573436691E-2</v>
      </c>
      <c r="AR175">
        <v>3.305684982430597E-2</v>
      </c>
      <c r="AS175">
        <v>2.3434092713997771E-2</v>
      </c>
      <c r="AT175">
        <v>-3.138313888500268E-2</v>
      </c>
      <c r="AU175">
        <v>5.2686726691414061E-2</v>
      </c>
      <c r="AV175">
        <v>6.3719158021791941E-2</v>
      </c>
      <c r="AW175">
        <v>3.257542444743914E-2</v>
      </c>
      <c r="AX175">
        <v>1.668538505202323E-2</v>
      </c>
    </row>
    <row r="176" spans="1:50" x14ac:dyDescent="0.25">
      <c r="A176">
        <v>-7.3764125259814045E-2</v>
      </c>
      <c r="B176">
        <v>-5.7245242902290681E-2</v>
      </c>
      <c r="C176">
        <v>-9.8368654044001858E-2</v>
      </c>
      <c r="D176">
        <v>-8.0969061641039897E-2</v>
      </c>
      <c r="E176">
        <v>1.606820598929742E-2</v>
      </c>
      <c r="F176">
        <v>0.1204103991606215</v>
      </c>
      <c r="G176">
        <v>0.14628371111099039</v>
      </c>
      <c r="H176">
        <v>-9.5841244629447486E-2</v>
      </c>
      <c r="I176">
        <v>0.16196374847030481</v>
      </c>
      <c r="J176">
        <v>-1.3595306780664481E-2</v>
      </c>
      <c r="K176">
        <v>4.456633478760437E-2</v>
      </c>
      <c r="L176">
        <v>-0.20660658431242329</v>
      </c>
      <c r="M176">
        <v>-1.3696285415253371E-3</v>
      </c>
      <c r="N176">
        <v>6.9779335609348195E-2</v>
      </c>
      <c r="O176">
        <v>-4.4233991934282263E-2</v>
      </c>
      <c r="P176">
        <v>6.2396416846332452E-2</v>
      </c>
      <c r="Q176">
        <v>-4.3488861780126613E-2</v>
      </c>
      <c r="R176">
        <v>-5.9078565502085033E-2</v>
      </c>
      <c r="S176">
        <v>-8.4201153364467429E-2</v>
      </c>
      <c r="T176">
        <v>0.1771901007583728</v>
      </c>
      <c r="U176">
        <v>4.3967123355785273E-3</v>
      </c>
      <c r="V176">
        <v>-0.11483644299270079</v>
      </c>
      <c r="W176">
        <v>1.5625998387515511E-2</v>
      </c>
      <c r="X176">
        <v>7.1509147449311614E-3</v>
      </c>
      <c r="Y176">
        <v>-0.17211404535757349</v>
      </c>
      <c r="Z176">
        <v>-8.2076234449027521E-2</v>
      </c>
      <c r="AA176">
        <v>4.1087357709638513E-2</v>
      </c>
      <c r="AB176">
        <v>-0.13586100263071721</v>
      </c>
      <c r="AC176">
        <v>-1.478615956795875E-2</v>
      </c>
      <c r="AD176">
        <v>2.8786406431888449E-2</v>
      </c>
      <c r="AE176">
        <v>-3.3613846415794027E-2</v>
      </c>
      <c r="AF176">
        <v>5.2074866051111522E-2</v>
      </c>
      <c r="AG176">
        <v>2.6754411920817751E-2</v>
      </c>
      <c r="AH176">
        <v>0.13335819857838641</v>
      </c>
      <c r="AI176">
        <v>0.22934204927185481</v>
      </c>
      <c r="AJ176">
        <v>3.0022273031527009E-2</v>
      </c>
      <c r="AK176">
        <v>-7.0705426258271073E-2</v>
      </c>
      <c r="AL176">
        <v>0.24543883477320791</v>
      </c>
      <c r="AM176">
        <v>2.6757344865407071E-2</v>
      </c>
      <c r="AN176">
        <v>0.15051887276786491</v>
      </c>
      <c r="AO176">
        <v>0.13407225640084999</v>
      </c>
      <c r="AP176">
        <v>9.8075250964219356E-4</v>
      </c>
      <c r="AQ176">
        <v>-9.8759205424587548E-2</v>
      </c>
      <c r="AR176">
        <v>-4.0535297025951808E-2</v>
      </c>
      <c r="AS176">
        <v>-1.6460513281502609E-2</v>
      </c>
      <c r="AT176">
        <v>-0.18390422559853581</v>
      </c>
      <c r="AU176">
        <v>5.0577246557831607E-2</v>
      </c>
      <c r="AV176">
        <v>-7.7911610178273166E-2</v>
      </c>
      <c r="AW176">
        <v>0.15007182155263241</v>
      </c>
      <c r="AX176">
        <v>-0.14423616460038419</v>
      </c>
    </row>
    <row r="177" spans="1:50" x14ac:dyDescent="0.25">
      <c r="A177">
        <v>3.776965818455338E-3</v>
      </c>
      <c r="B177">
        <v>2.619879795925437E-2</v>
      </c>
      <c r="C177">
        <v>-3.7051313326855401E-3</v>
      </c>
      <c r="D177">
        <v>2.457138678859444E-2</v>
      </c>
      <c r="E177">
        <v>-1.4233659860684901E-3</v>
      </c>
      <c r="F177">
        <v>2.0410795943682721E-2</v>
      </c>
      <c r="G177">
        <v>-4.9773702081154593E-2</v>
      </c>
      <c r="H177">
        <v>1.802416819841721E-2</v>
      </c>
      <c r="I177">
        <v>5.2407263868746246E-3</v>
      </c>
      <c r="J177">
        <v>2.271626324128025E-2</v>
      </c>
      <c r="K177">
        <v>5.9983034391206627E-2</v>
      </c>
      <c r="L177">
        <v>9.7179780233644809E-3</v>
      </c>
      <c r="M177">
        <v>-1.016895542525534E-2</v>
      </c>
      <c r="N177">
        <v>1.4619312792985411E-2</v>
      </c>
      <c r="O177">
        <v>6.4290662520705991E-2</v>
      </c>
      <c r="P177">
        <v>1.125061339880064E-2</v>
      </c>
      <c r="Q177">
        <v>-2.335082702644881E-2</v>
      </c>
      <c r="R177">
        <v>6.3403731746877856E-2</v>
      </c>
      <c r="S177">
        <v>4.1041160064818213E-2</v>
      </c>
      <c r="T177">
        <v>-2.6639371226116072E-4</v>
      </c>
      <c r="U177">
        <v>4.2995283408450762E-2</v>
      </c>
      <c r="V177">
        <v>1.4994543123719631E-2</v>
      </c>
      <c r="W177">
        <v>1.7773127966019282E-2</v>
      </c>
      <c r="X177">
        <v>-5.5983589652738798E-4</v>
      </c>
      <c r="Y177">
        <v>2.1850589823460911E-2</v>
      </c>
      <c r="Z177">
        <v>2.0872183984671871E-2</v>
      </c>
      <c r="AA177">
        <v>1.9181820622131029E-2</v>
      </c>
      <c r="AB177">
        <v>-3.2803718514805812E-3</v>
      </c>
      <c r="AC177">
        <v>2.1977642969798272E-2</v>
      </c>
      <c r="AD177">
        <v>-8.1142403045529315E-3</v>
      </c>
      <c r="AE177">
        <v>1.297852957632472E-2</v>
      </c>
      <c r="AF177">
        <v>3.8160432297279792E-2</v>
      </c>
      <c r="AG177">
        <v>1.997738739458009E-2</v>
      </c>
      <c r="AH177">
        <v>0.10223872205306669</v>
      </c>
      <c r="AI177">
        <v>2.3630834772464551E-2</v>
      </c>
      <c r="AJ177">
        <v>3.8968170475415537E-2</v>
      </c>
      <c r="AK177">
        <v>-3.7877203449134783E-2</v>
      </c>
      <c r="AL177">
        <v>-1.4154599692082111E-2</v>
      </c>
      <c r="AM177">
        <v>8.4474752027859194E-3</v>
      </c>
      <c r="AN177">
        <v>-4.0899359564176507E-2</v>
      </c>
      <c r="AO177">
        <v>-8.5157303739968708E-3</v>
      </c>
      <c r="AP177">
        <v>-2.324219109818481E-2</v>
      </c>
      <c r="AQ177">
        <v>6.2129012912155793E-3</v>
      </c>
      <c r="AR177">
        <v>3.3203829542528783E-2</v>
      </c>
      <c r="AS177">
        <v>5.394359209043108E-3</v>
      </c>
      <c r="AT177">
        <v>5.3036585805576516E-3</v>
      </c>
      <c r="AU177">
        <v>4.1875697110725321E-2</v>
      </c>
      <c r="AV177">
        <v>1.7503562740218369E-3</v>
      </c>
      <c r="AW177">
        <v>2.597776139014479E-2</v>
      </c>
      <c r="AX177">
        <v>3.7152835027763197E-2</v>
      </c>
    </row>
    <row r="178" spans="1:50" x14ac:dyDescent="0.25">
      <c r="A178">
        <v>0.13480203953907441</v>
      </c>
      <c r="B178">
        <v>0.1338399978848627</v>
      </c>
      <c r="C178">
        <v>-0.1145536261221709</v>
      </c>
      <c r="D178">
        <v>0.31801065328315831</v>
      </c>
      <c r="E178">
        <v>-0.24729859866235179</v>
      </c>
      <c r="F178">
        <v>-0.11588085123492579</v>
      </c>
      <c r="G178">
        <v>-0.17236282968595851</v>
      </c>
      <c r="H178">
        <v>5.507968415795142E-2</v>
      </c>
      <c r="I178">
        <v>-0.13293544709298</v>
      </c>
      <c r="J178">
        <v>2.462950263926536E-2</v>
      </c>
      <c r="K178">
        <v>-0.28840819861713812</v>
      </c>
      <c r="L178">
        <v>1.7811346007520611E-2</v>
      </c>
      <c r="M178">
        <v>0.27261505379444179</v>
      </c>
      <c r="N178">
        <v>0.18961575047120591</v>
      </c>
      <c r="O178">
        <v>0.17995309544189919</v>
      </c>
      <c r="P178">
        <v>0.36010082903811952</v>
      </c>
      <c r="Q178">
        <v>9.9116522162265696E-3</v>
      </c>
      <c r="R178">
        <v>0.34645819847073711</v>
      </c>
      <c r="S178">
        <v>-9.5047577861126671E-3</v>
      </c>
      <c r="T178">
        <v>-5.8036441412867422E-2</v>
      </c>
      <c r="U178">
        <v>0.30149268824821052</v>
      </c>
      <c r="V178">
        <v>0.12695670050898281</v>
      </c>
      <c r="W178">
        <v>-0.10472351501244651</v>
      </c>
      <c r="X178">
        <v>0.14215518241582431</v>
      </c>
      <c r="Y178">
        <v>0.19968876355935419</v>
      </c>
      <c r="Z178">
        <v>-0.25115342434884219</v>
      </c>
      <c r="AA178">
        <v>4.422263534867462E-2</v>
      </c>
      <c r="AB178">
        <v>-0.27865891793846997</v>
      </c>
      <c r="AC178">
        <v>0.2006500244420798</v>
      </c>
      <c r="AD178">
        <v>-0.11252468860428751</v>
      </c>
      <c r="AE178">
        <v>-7.3828154450493469E-2</v>
      </c>
      <c r="AF178">
        <v>-0.1058661163995842</v>
      </c>
      <c r="AG178">
        <v>7.1395059641892453E-2</v>
      </c>
      <c r="AH178">
        <v>0.20587225903934031</v>
      </c>
      <c r="AI178">
        <v>0.42359064002608188</v>
      </c>
      <c r="AJ178">
        <v>0.22611840221258081</v>
      </c>
      <c r="AK178">
        <v>-0.1323655688914242</v>
      </c>
      <c r="AL178">
        <v>-1.310426091882296E-2</v>
      </c>
      <c r="AM178">
        <v>0.12919423314492731</v>
      </c>
      <c r="AN178">
        <v>-0.2549535755398139</v>
      </c>
      <c r="AO178">
        <v>2.40081369021806E-2</v>
      </c>
      <c r="AP178">
        <v>-0.14351802865038971</v>
      </c>
      <c r="AQ178">
        <v>0.15697002921243969</v>
      </c>
      <c r="AR178">
        <v>-9.9523630327386231E-2</v>
      </c>
      <c r="AS178">
        <v>0.29613137667977829</v>
      </c>
      <c r="AT178">
        <v>-0.14561454109741259</v>
      </c>
      <c r="AU178">
        <v>0.21463034769753181</v>
      </c>
      <c r="AV178">
        <v>-0.16437277973216199</v>
      </c>
      <c r="AW178">
        <v>5.2391001786717843E-2</v>
      </c>
      <c r="AX178">
        <v>0.54185158531855659</v>
      </c>
    </row>
    <row r="179" spans="1:50" x14ac:dyDescent="0.25">
      <c r="A179">
        <v>-0.43111711566084682</v>
      </c>
      <c r="B179">
        <v>8.9792718044386322E-2</v>
      </c>
      <c r="C179">
        <v>0.39279346402376802</v>
      </c>
      <c r="D179">
        <v>0.1172962660202481</v>
      </c>
      <c r="E179">
        <v>-0.4453004423250842</v>
      </c>
      <c r="F179">
        <v>0.54301135760623709</v>
      </c>
      <c r="G179">
        <v>-0.26937584823757399</v>
      </c>
      <c r="H179">
        <v>0.52168713198595573</v>
      </c>
      <c r="I179">
        <v>-0.26615881056696938</v>
      </c>
      <c r="J179">
        <v>-0.4924657267297069</v>
      </c>
      <c r="K179">
        <v>0.1224796397445887</v>
      </c>
      <c r="L179">
        <v>0.62555045724637381</v>
      </c>
      <c r="M179">
        <v>0.1183971311416096</v>
      </c>
      <c r="N179">
        <v>0.38277556856578659</v>
      </c>
      <c r="O179">
        <v>-0.1102554582180701</v>
      </c>
      <c r="P179">
        <v>-0.28942767848785372</v>
      </c>
      <c r="Q179">
        <v>9.1824668389720115E-2</v>
      </c>
      <c r="R179">
        <v>9.9719044143882787E-2</v>
      </c>
      <c r="S179">
        <v>0.1261365787406683</v>
      </c>
      <c r="T179">
        <v>8.9491251736989144E-2</v>
      </c>
      <c r="U179">
        <v>6.5878140799859736E-2</v>
      </c>
      <c r="V179">
        <v>5.1982735299600626E-3</v>
      </c>
      <c r="W179">
        <v>-4.3313448374599162E-2</v>
      </c>
      <c r="X179">
        <v>0.5091663641152443</v>
      </c>
      <c r="Y179">
        <v>0.3156233272340041</v>
      </c>
      <c r="Z179">
        <v>0.2142092247685769</v>
      </c>
      <c r="AA179">
        <v>0.14678895257512159</v>
      </c>
      <c r="AB179">
        <v>-0.2124704492827576</v>
      </c>
      <c r="AC179">
        <v>-0.19029900195362021</v>
      </c>
      <c r="AD179">
        <v>0.18932715824013371</v>
      </c>
      <c r="AE179">
        <v>0.4119233390690758</v>
      </c>
      <c r="AF179">
        <v>-0.35425228367122541</v>
      </c>
      <c r="AG179">
        <v>-0.18310078555495979</v>
      </c>
      <c r="AH179">
        <v>-0.12552591625658749</v>
      </c>
      <c r="AI179">
        <v>-0.31611834543856993</v>
      </c>
      <c r="AJ179">
        <v>0.44940788819633809</v>
      </c>
      <c r="AK179">
        <v>-0.1115160357783946</v>
      </c>
      <c r="AL179">
        <v>0.28924969759883912</v>
      </c>
      <c r="AM179">
        <v>0.3311443677006442</v>
      </c>
      <c r="AN179">
        <v>0.48927372290929799</v>
      </c>
      <c r="AO179">
        <v>6.2987141572772701E-2</v>
      </c>
      <c r="AP179">
        <v>-0.65692950140353101</v>
      </c>
      <c r="AQ179">
        <v>-0.39009106941984861</v>
      </c>
      <c r="AR179">
        <v>-0.2227926067185742</v>
      </c>
      <c r="AS179">
        <v>2.4759657876605019E-2</v>
      </c>
      <c r="AT179">
        <v>0.87560051055811694</v>
      </c>
      <c r="AU179">
        <v>-0.35364249449319618</v>
      </c>
      <c r="AV179">
        <v>-0.1750417855035013</v>
      </c>
      <c r="AW179">
        <v>0.31758340315075029</v>
      </c>
      <c r="AX179">
        <v>-0.17578490210959399</v>
      </c>
    </row>
    <row r="180" spans="1:50" x14ac:dyDescent="0.25">
      <c r="A180">
        <v>-0.15088085694965361</v>
      </c>
      <c r="B180">
        <v>0.26185928647200057</v>
      </c>
      <c r="C180">
        <v>-0.1156373716875299</v>
      </c>
      <c r="D180">
        <v>0.16531974548043171</v>
      </c>
      <c r="E180">
        <v>-0.21008349620342609</v>
      </c>
      <c r="F180">
        <v>-9.6961565630409897E-3</v>
      </c>
      <c r="G180">
        <v>-0.16075725746087499</v>
      </c>
      <c r="H180">
        <v>6.3431142173376611E-5</v>
      </c>
      <c r="I180">
        <v>-0.16479793598253789</v>
      </c>
      <c r="J180">
        <v>0.1535994382907396</v>
      </c>
      <c r="K180">
        <v>-0.11251704805018919</v>
      </c>
      <c r="L180">
        <v>0.1214696092794189</v>
      </c>
      <c r="M180">
        <v>-0.101012620445028</v>
      </c>
      <c r="N180">
        <v>3.2155858382077372E-2</v>
      </c>
      <c r="O180">
        <v>4.6145800920588953E-2</v>
      </c>
      <c r="P180">
        <v>0.2233250985333774</v>
      </c>
      <c r="Q180">
        <v>-6.8300249835081719E-2</v>
      </c>
      <c r="R180">
        <v>0.1508144411293072</v>
      </c>
      <c r="S180">
        <v>0.16818597116943901</v>
      </c>
      <c r="T180">
        <v>-5.8951638156678837E-2</v>
      </c>
      <c r="U180">
        <v>-0.1073559823643843</v>
      </c>
      <c r="V180">
        <v>-4.1872392064665677E-2</v>
      </c>
      <c r="W180">
        <v>-2.4314871039358379E-2</v>
      </c>
      <c r="X180">
        <v>-3.2743125153555132E-2</v>
      </c>
      <c r="Y180">
        <v>-2.8864272787652322E-2</v>
      </c>
      <c r="Z180">
        <v>3.1535192809707929E-2</v>
      </c>
      <c r="AA180">
        <v>-0.13132346530905831</v>
      </c>
      <c r="AB180">
        <v>-6.3599829231817437E-2</v>
      </c>
      <c r="AC180">
        <v>0.17023491348996281</v>
      </c>
      <c r="AD180">
        <v>-2.5782266437470541E-2</v>
      </c>
      <c r="AE180">
        <v>9.4772658658841463E-2</v>
      </c>
      <c r="AF180">
        <v>0.1310532006630393</v>
      </c>
      <c r="AG180">
        <v>-2.4992024954148932E-2</v>
      </c>
      <c r="AH180">
        <v>-2.6504095363112729E-2</v>
      </c>
      <c r="AI180">
        <v>-5.5431705566659037E-2</v>
      </c>
      <c r="AJ180">
        <v>-3.4413402552978409E-2</v>
      </c>
      <c r="AK180">
        <v>7.1964423507987676E-3</v>
      </c>
      <c r="AL180">
        <v>-0.2058700239542513</v>
      </c>
      <c r="AM180">
        <v>0.17722277904995121</v>
      </c>
      <c r="AN180">
        <v>4.5786245778291552E-2</v>
      </c>
      <c r="AO180">
        <v>0.1579638247471962</v>
      </c>
      <c r="AP180">
        <v>0.14960130782595529</v>
      </c>
      <c r="AQ180">
        <v>-0.15997880819366389</v>
      </c>
      <c r="AR180">
        <v>8.462252940545166E-3</v>
      </c>
      <c r="AS180">
        <v>-2.3069804411954789E-2</v>
      </c>
      <c r="AT180">
        <v>0.1331178249596755</v>
      </c>
      <c r="AU180">
        <v>-8.6844443885880168E-2</v>
      </c>
      <c r="AV180">
        <v>2.7650747763968291E-2</v>
      </c>
      <c r="AW180">
        <v>9.0704490013757813E-2</v>
      </c>
      <c r="AX180">
        <v>6.5063924468240789E-2</v>
      </c>
    </row>
    <row r="181" spans="1:50" x14ac:dyDescent="0.25">
      <c r="A181">
        <v>0.30263724970738298</v>
      </c>
      <c r="B181">
        <v>0.60427209748482158</v>
      </c>
      <c r="C181">
        <v>0.2180487175547369</v>
      </c>
      <c r="D181">
        <v>0.32342211440118951</v>
      </c>
      <c r="E181">
        <v>-0.41299080727967502</v>
      </c>
      <c r="F181">
        <v>0.1537081763069876</v>
      </c>
      <c r="G181">
        <v>-0.78169960275286721</v>
      </c>
      <c r="H181">
        <v>0.55952776974463136</v>
      </c>
      <c r="I181">
        <v>-0.12901127670607029</v>
      </c>
      <c r="J181">
        <v>9.197683320832778E-2</v>
      </c>
      <c r="K181">
        <v>5.3283186858402332E-2</v>
      </c>
      <c r="L181">
        <v>-7.9353898626351324E-2</v>
      </c>
      <c r="M181">
        <v>-0.42883305927415027</v>
      </c>
      <c r="N181">
        <v>-0.73099372772325533</v>
      </c>
      <c r="O181">
        <v>-0.13305868429457771</v>
      </c>
      <c r="P181">
        <v>-0.50993189075962786</v>
      </c>
      <c r="Q181">
        <v>-0.1212043405728825</v>
      </c>
      <c r="R181">
        <v>-3.4115226517500943E-2</v>
      </c>
      <c r="S181">
        <v>-4.4120325828565808E-2</v>
      </c>
      <c r="T181">
        <v>0.22858322331541511</v>
      </c>
      <c r="U181">
        <v>-0.47760969558356331</v>
      </c>
      <c r="V181">
        <v>-1.8649383347555289E-2</v>
      </c>
      <c r="W181">
        <v>0.49955012433220702</v>
      </c>
      <c r="X181">
        <v>-0.25227827098127209</v>
      </c>
      <c r="Y181">
        <v>-0.31832020355460788</v>
      </c>
      <c r="Z181">
        <v>6.7861064249819122E-2</v>
      </c>
      <c r="AA181">
        <v>3.6692454763860301E-2</v>
      </c>
      <c r="AB181">
        <v>0.50038593850060498</v>
      </c>
      <c r="AC181">
        <v>0.42229059864064389</v>
      </c>
      <c r="AD181">
        <v>-0.69083256062679488</v>
      </c>
      <c r="AE181">
        <v>0.26680796666320761</v>
      </c>
      <c r="AF181">
        <v>0.1929028327352279</v>
      </c>
      <c r="AG181">
        <v>2.2144002029217289E-3</v>
      </c>
      <c r="AH181">
        <v>0.30414392574429072</v>
      </c>
      <c r="AI181">
        <v>-0.14593333053579249</v>
      </c>
      <c r="AJ181">
        <v>0.26209652304739128</v>
      </c>
      <c r="AK181">
        <v>-2.1620040518725459E-2</v>
      </c>
      <c r="AL181">
        <v>0.26919819346032309</v>
      </c>
      <c r="AM181">
        <v>0.47542874049316858</v>
      </c>
      <c r="AN181">
        <v>-0.84213122555661224</v>
      </c>
      <c r="AO181">
        <v>-0.23091031215961619</v>
      </c>
      <c r="AP181">
        <v>0.39454645323466658</v>
      </c>
      <c r="AQ181">
        <v>-0.41282677751505059</v>
      </c>
      <c r="AR181">
        <v>9.6550875591456323E-2</v>
      </c>
      <c r="AS181">
        <v>5.6918194083091837E-2</v>
      </c>
      <c r="AT181">
        <v>-0.40215691397350861</v>
      </c>
      <c r="AU181">
        <v>-6.5135605677237335E-2</v>
      </c>
      <c r="AV181">
        <v>0.64079257355091268</v>
      </c>
      <c r="AW181">
        <v>-3.9410766994021927E-2</v>
      </c>
      <c r="AX181">
        <v>-0.2182481609928961</v>
      </c>
    </row>
    <row r="182" spans="1:50" x14ac:dyDescent="0.25">
      <c r="A182">
        <v>6.2003026656255928E-4</v>
      </c>
      <c r="B182">
        <v>3.5944397580958728E-2</v>
      </c>
      <c r="C182">
        <v>-7.3539538636838066E-3</v>
      </c>
      <c r="D182">
        <v>-3.7215558448529442E-3</v>
      </c>
      <c r="E182">
        <v>-5.9720512232599142E-4</v>
      </c>
      <c r="F182">
        <v>4.9430913340125213E-2</v>
      </c>
      <c r="G182">
        <v>1.369654112058257E-2</v>
      </c>
      <c r="H182">
        <v>-9.1531053836121454E-3</v>
      </c>
      <c r="I182">
        <v>-5.5750145700686716E-3</v>
      </c>
      <c r="J182">
        <v>6.0339568770952853E-2</v>
      </c>
      <c r="K182">
        <v>1.6365679160794001E-2</v>
      </c>
      <c r="L182">
        <v>-1.7878420323379721E-2</v>
      </c>
      <c r="M182">
        <v>3.89388619290039E-2</v>
      </c>
      <c r="N182">
        <v>1.510691642180147E-2</v>
      </c>
      <c r="O182">
        <v>7.5120427655839331E-2</v>
      </c>
      <c r="P182">
        <v>1.125246387115666E-2</v>
      </c>
      <c r="Q182">
        <v>5.1483013244175098E-2</v>
      </c>
      <c r="R182">
        <v>3.0186902378499129E-2</v>
      </c>
      <c r="S182">
        <v>1.1972296274423521E-2</v>
      </c>
      <c r="T182">
        <v>9.4320157151599193E-3</v>
      </c>
      <c r="U182">
        <v>2.6490834922557979E-2</v>
      </c>
      <c r="V182">
        <v>1.55926756168728E-2</v>
      </c>
      <c r="W182">
        <v>4.8793935877295781E-2</v>
      </c>
      <c r="X182">
        <v>-6.338781932409734E-4</v>
      </c>
      <c r="Y182">
        <v>1.9594074774966851E-2</v>
      </c>
      <c r="Z182">
        <v>1.511918870439816E-2</v>
      </c>
      <c r="AA182">
        <v>3.2868635417701859E-2</v>
      </c>
      <c r="AB182">
        <v>2.1583101010279441E-2</v>
      </c>
      <c r="AC182">
        <v>7.9630646431654954E-3</v>
      </c>
      <c r="AD182">
        <v>1.1462025595900821E-2</v>
      </c>
      <c r="AE182">
        <v>3.6662850233940773E-2</v>
      </c>
      <c r="AF182">
        <v>9.1614381146123067E-3</v>
      </c>
      <c r="AG182">
        <v>3.8738481130506028E-2</v>
      </c>
      <c r="AH182">
        <v>3.1032560747989778E-2</v>
      </c>
      <c r="AI182">
        <v>-1.2699564420974811E-3</v>
      </c>
      <c r="AJ182">
        <v>3.5918857949960942E-2</v>
      </c>
      <c r="AK182">
        <v>-1.1183650569514311E-2</v>
      </c>
      <c r="AL182">
        <v>8.6408571132459092E-3</v>
      </c>
      <c r="AM182">
        <v>4.0012294667598869E-2</v>
      </c>
      <c r="AN182">
        <v>1.9049469873816581E-2</v>
      </c>
      <c r="AO182">
        <v>-3.1757287858934979E-3</v>
      </c>
      <c r="AP182">
        <v>-2.409321255843868E-2</v>
      </c>
      <c r="AQ182">
        <v>3.1331475837910613E-2</v>
      </c>
      <c r="AR182">
        <v>1.897240042425509E-2</v>
      </c>
      <c r="AS182">
        <v>2.264356033302843E-3</v>
      </c>
      <c r="AT182">
        <v>7.8240119697733038E-3</v>
      </c>
      <c r="AU182">
        <v>2.6695457605454311E-2</v>
      </c>
      <c r="AV182">
        <v>3.9482854478815152E-2</v>
      </c>
      <c r="AW182">
        <v>3.2173645014076997E-2</v>
      </c>
      <c r="AX182">
        <v>1.8828844381751659E-2</v>
      </c>
    </row>
    <row r="183" spans="1:50" x14ac:dyDescent="0.25">
      <c r="A183">
        <v>8.5214387024609567E-2</v>
      </c>
      <c r="B183">
        <v>6.7575402437922594E-2</v>
      </c>
      <c r="C183">
        <v>-2.0290623606295039E-2</v>
      </c>
      <c r="D183">
        <v>0.46188530994789317</v>
      </c>
      <c r="E183">
        <v>0.23454732713763399</v>
      </c>
      <c r="F183">
        <v>3.7107174591738443E-2</v>
      </c>
      <c r="G183">
        <v>-0.1978228354004076</v>
      </c>
      <c r="H183">
        <v>2.5492351739257551E-2</v>
      </c>
      <c r="I183">
        <v>-5.0505919563387867E-2</v>
      </c>
      <c r="J183">
        <v>-0.19915464132313809</v>
      </c>
      <c r="K183">
        <v>0.20472450504045361</v>
      </c>
      <c r="L183">
        <v>0.2144099190249977</v>
      </c>
      <c r="M183">
        <v>2.6427862372724931E-2</v>
      </c>
      <c r="N183">
        <v>0.24649209488519391</v>
      </c>
      <c r="O183">
        <v>8.1097049632465473E-2</v>
      </c>
      <c r="P183">
        <v>0.44757532691443469</v>
      </c>
      <c r="Q183">
        <v>-2.7959921376879159E-2</v>
      </c>
      <c r="R183">
        <v>-4.8234719745552067E-3</v>
      </c>
      <c r="S183">
        <v>1.2695744220487099E-2</v>
      </c>
      <c r="T183">
        <v>-0.1098162111307615</v>
      </c>
      <c r="U183">
        <v>7.9041523907136285E-2</v>
      </c>
      <c r="V183">
        <v>-0.17801200672585879</v>
      </c>
      <c r="W183">
        <v>0.44457206565638679</v>
      </c>
      <c r="X183">
        <v>-0.116002427998891</v>
      </c>
      <c r="Y183">
        <v>0.41562797209481911</v>
      </c>
      <c r="Z183">
        <v>0.1316561493855582</v>
      </c>
      <c r="AA183">
        <v>-0.14992476856698109</v>
      </c>
      <c r="AB183">
        <v>0.59299929673503771</v>
      </c>
      <c r="AC183">
        <v>-0.32836734786146482</v>
      </c>
      <c r="AD183">
        <v>-1.1989299889634E-2</v>
      </c>
      <c r="AE183">
        <v>0.23600707937646481</v>
      </c>
      <c r="AF183">
        <v>0.26219090567532688</v>
      </c>
      <c r="AG183">
        <v>0.31539873856637918</v>
      </c>
      <c r="AH183">
        <v>-5.5353179029084758E-2</v>
      </c>
      <c r="AI183">
        <v>9.2597952055703328E-2</v>
      </c>
      <c r="AJ183">
        <v>-6.2003660152003211E-2</v>
      </c>
      <c r="AK183">
        <v>-4.1436756520405078E-2</v>
      </c>
      <c r="AL183">
        <v>4.3125627667653162E-2</v>
      </c>
      <c r="AM183">
        <v>-9.137587719397923E-2</v>
      </c>
      <c r="AN183">
        <v>-0.1738075512282061</v>
      </c>
      <c r="AO183">
        <v>-6.2135557656904733E-2</v>
      </c>
      <c r="AP183">
        <v>-0.27508399138812151</v>
      </c>
      <c r="AQ183">
        <v>0.13914048614698821</v>
      </c>
      <c r="AR183">
        <v>1.9448790320668551E-2</v>
      </c>
      <c r="AS183">
        <v>-0.13080626702440551</v>
      </c>
      <c r="AT183">
        <v>-4.549787659766583E-3</v>
      </c>
      <c r="AU183">
        <v>8.6966692066068496E-2</v>
      </c>
      <c r="AV183">
        <v>4.5778758598711833E-3</v>
      </c>
      <c r="AW183">
        <v>0.40892950545509221</v>
      </c>
      <c r="AX183">
        <v>0.34892557522028222</v>
      </c>
    </row>
    <row r="184" spans="1:50" x14ac:dyDescent="0.25">
      <c r="A184">
        <v>0.1766953296637713</v>
      </c>
      <c r="B184">
        <v>-0.12599216132860039</v>
      </c>
      <c r="C184">
        <v>-0.13609881624572731</v>
      </c>
      <c r="D184">
        <v>-1.3564783047496771E-2</v>
      </c>
      <c r="E184">
        <v>0.1119775007781921</v>
      </c>
      <c r="F184">
        <v>-2.1121879814612068E-2</v>
      </c>
      <c r="G184">
        <v>0.26416445885442619</v>
      </c>
      <c r="H184">
        <v>0.20680559800059531</v>
      </c>
      <c r="I184">
        <v>0.17900324188058209</v>
      </c>
      <c r="J184">
        <v>-0.1108791443692199</v>
      </c>
      <c r="K184">
        <v>0.2975045989448718</v>
      </c>
      <c r="L184">
        <v>0.1542807803894598</v>
      </c>
      <c r="M184">
        <v>0.3512833311468932</v>
      </c>
      <c r="N184">
        <v>-3.326508944232659E-2</v>
      </c>
      <c r="O184">
        <v>-0.16906141434547481</v>
      </c>
      <c r="P184">
        <v>5.274615420146285E-2</v>
      </c>
      <c r="Q184">
        <v>0.20507766280333489</v>
      </c>
      <c r="R184">
        <v>-0.10783579163528879</v>
      </c>
      <c r="S184">
        <v>0.2260807446927432</v>
      </c>
      <c r="T184">
        <v>-9.3258796906972669E-2</v>
      </c>
      <c r="U184">
        <v>0.2276032782566848</v>
      </c>
      <c r="V184">
        <v>-4.0810280551291003E-2</v>
      </c>
      <c r="W184">
        <v>0.10551670450286189</v>
      </c>
      <c r="X184">
        <v>-0.1182993160186874</v>
      </c>
      <c r="Y184">
        <v>-9.2604609661337156E-2</v>
      </c>
      <c r="Z184">
        <v>0.13348862837621309</v>
      </c>
      <c r="AA184">
        <v>0.17546872536334129</v>
      </c>
      <c r="AB184">
        <v>-0.17849781961751171</v>
      </c>
      <c r="AC184">
        <v>-0.3124486434962917</v>
      </c>
      <c r="AD184">
        <v>-0.16970781621021219</v>
      </c>
      <c r="AE184">
        <v>0.1216502396362804</v>
      </c>
      <c r="AF184">
        <v>-0.1001346530490885</v>
      </c>
      <c r="AG184">
        <v>-0.20706021446033979</v>
      </c>
      <c r="AH184">
        <v>-0.1622305892545535</v>
      </c>
      <c r="AI184">
        <v>3.4587447656050853E-2</v>
      </c>
      <c r="AJ184">
        <v>-2.5796926007213519E-2</v>
      </c>
      <c r="AK184">
        <v>1.158907507452598E-2</v>
      </c>
      <c r="AL184">
        <v>3.5894643478069657E-2</v>
      </c>
      <c r="AM184">
        <v>6.7219111799356551E-2</v>
      </c>
      <c r="AN184">
        <v>-0.20050811245279959</v>
      </c>
      <c r="AO184">
        <v>0.27604487472464279</v>
      </c>
      <c r="AP184">
        <v>-0.20629564142849549</v>
      </c>
      <c r="AQ184">
        <v>4.9507257235707397E-2</v>
      </c>
      <c r="AR184">
        <v>0.29559716196378383</v>
      </c>
      <c r="AS184">
        <v>0.2357420658274918</v>
      </c>
      <c r="AT184">
        <v>-4.2983213995326307E-2</v>
      </c>
      <c r="AU184">
        <v>6.5309450831833843E-2</v>
      </c>
      <c r="AV184">
        <v>0.15297876295268961</v>
      </c>
      <c r="AW184">
        <v>0.20645844697066179</v>
      </c>
      <c r="AX184">
        <v>0.17176889816033589</v>
      </c>
    </row>
    <row r="185" spans="1:50" x14ac:dyDescent="0.25">
      <c r="A185">
        <v>3.018491301527812E-2</v>
      </c>
      <c r="B185">
        <v>6.1887111844182191E-2</v>
      </c>
      <c r="C185">
        <v>-1.5443165990197091E-3</v>
      </c>
      <c r="D185">
        <v>5.4817202495663783E-2</v>
      </c>
      <c r="E185">
        <v>1.052029030389913E-2</v>
      </c>
      <c r="F185">
        <v>6.4664718647505892E-2</v>
      </c>
      <c r="G185">
        <v>3.4688642897018902E-2</v>
      </c>
      <c r="H185">
        <v>-1.6083796045717629E-4</v>
      </c>
      <c r="I185">
        <v>1.713362567864404E-2</v>
      </c>
      <c r="J185">
        <v>6.5790341280487802E-2</v>
      </c>
      <c r="K185">
        <v>5.6113849529732487E-2</v>
      </c>
      <c r="L185">
        <v>4.466447681883879E-2</v>
      </c>
      <c r="M185">
        <v>3.4772993065036603E-2</v>
      </c>
      <c r="N185">
        <v>2.8190280761354349E-2</v>
      </c>
      <c r="O185">
        <v>9.6465691556856567E-2</v>
      </c>
      <c r="P185">
        <v>2.5358372381936549E-2</v>
      </c>
      <c r="Q185">
        <v>0.1057237960080549</v>
      </c>
      <c r="R185">
        <v>6.1469654093675483E-2</v>
      </c>
      <c r="S185">
        <v>2.622369702779604E-2</v>
      </c>
      <c r="T185">
        <v>3.7538029862959531E-2</v>
      </c>
      <c r="U185">
        <v>6.5252311231261254E-2</v>
      </c>
      <c r="V185">
        <v>0.1024098577407581</v>
      </c>
      <c r="W185">
        <v>2.8302322659254659E-2</v>
      </c>
      <c r="X185">
        <v>4.0710236051237749E-3</v>
      </c>
      <c r="Y185">
        <v>0.1158998821380552</v>
      </c>
      <c r="Z185">
        <v>0.12803781170845491</v>
      </c>
      <c r="AA185">
        <v>6.9166496350782411E-2</v>
      </c>
      <c r="AB185">
        <v>3.3871219503154998E-2</v>
      </c>
      <c r="AC185">
        <v>1.0816994238896611E-2</v>
      </c>
      <c r="AD185">
        <v>2.865915000384146E-2</v>
      </c>
      <c r="AE185">
        <v>5.8639426120746858E-2</v>
      </c>
      <c r="AF185">
        <v>-1.247008412826269E-3</v>
      </c>
      <c r="AG185">
        <v>7.0568081809829361E-2</v>
      </c>
      <c r="AH185">
        <v>1.9029376931432671E-2</v>
      </c>
      <c r="AI185">
        <v>3.3746428773643367E-2</v>
      </c>
      <c r="AJ185">
        <v>7.1490984298350768E-2</v>
      </c>
      <c r="AK185">
        <v>-8.3565670555646576E-3</v>
      </c>
      <c r="AL185">
        <v>4.5748981085843292E-2</v>
      </c>
      <c r="AM185">
        <v>2.9689869968561908E-2</v>
      </c>
      <c r="AN185">
        <v>-1.535217614687653E-2</v>
      </c>
      <c r="AO185">
        <v>2.9991845105186259E-2</v>
      </c>
      <c r="AP185">
        <v>-3.5055900407025241E-2</v>
      </c>
      <c r="AQ185">
        <v>-1.2115225785602309E-2</v>
      </c>
      <c r="AR185">
        <v>4.4642345995843997E-2</v>
      </c>
      <c r="AS185">
        <v>3.9496445885524117E-2</v>
      </c>
      <c r="AT185">
        <v>1.2290711868401791E-2</v>
      </c>
      <c r="AU185">
        <v>6.0595508294113982E-2</v>
      </c>
      <c r="AV185">
        <v>5.7624293078980759E-2</v>
      </c>
      <c r="AW185">
        <v>4.4207002494419931E-2</v>
      </c>
      <c r="AX185">
        <v>1.7585209892782949E-2</v>
      </c>
    </row>
    <row r="186" spans="1:50" x14ac:dyDescent="0.25">
      <c r="A186">
        <v>-4.2606881161581317E-2</v>
      </c>
      <c r="B186">
        <v>4.2521706335281587E-2</v>
      </c>
      <c r="C186">
        <v>8.4820408186860874E-2</v>
      </c>
      <c r="D186">
        <v>3.040995028178322E-2</v>
      </c>
      <c r="E186">
        <v>7.7776918696302585E-2</v>
      </c>
      <c r="F186">
        <v>-5.9989207165550541E-2</v>
      </c>
      <c r="G186">
        <v>-8.369534372649777E-3</v>
      </c>
      <c r="H186">
        <v>-9.6778241937482856E-2</v>
      </c>
      <c r="I186">
        <v>-1.8805119786029272E-2</v>
      </c>
      <c r="J186">
        <v>6.8330343545029523E-2</v>
      </c>
      <c r="K186">
        <v>0.1693310234209835</v>
      </c>
      <c r="L186">
        <v>-4.2303077597541053E-2</v>
      </c>
      <c r="M186">
        <v>-2.9015581764276779E-2</v>
      </c>
      <c r="N186">
        <v>4.3481630508423512E-2</v>
      </c>
      <c r="O186">
        <v>0.23897959499423491</v>
      </c>
      <c r="P186">
        <v>1.5659230220696929E-2</v>
      </c>
      <c r="Q186">
        <v>-2.4625718690735671E-2</v>
      </c>
      <c r="R186">
        <v>8.0095499381009863E-2</v>
      </c>
      <c r="S186">
        <v>-9.1640574600193273E-2</v>
      </c>
      <c r="T186">
        <v>0.21182844822392391</v>
      </c>
      <c r="U186">
        <v>0.1250361203727412</v>
      </c>
      <c r="V186">
        <v>0.1861795113798318</v>
      </c>
      <c r="W186">
        <v>5.5425456830968577E-2</v>
      </c>
      <c r="X186">
        <v>-6.188195698431341E-4</v>
      </c>
      <c r="Y186">
        <v>4.9911909482109967E-2</v>
      </c>
      <c r="Z186">
        <v>-0.10238745293967309</v>
      </c>
      <c r="AA186">
        <v>0.27385841851592302</v>
      </c>
      <c r="AB186">
        <v>-0.1060535428910479</v>
      </c>
      <c r="AC186">
        <v>-1.9775344381117919E-2</v>
      </c>
      <c r="AD186">
        <v>-0.14168143777327449</v>
      </c>
      <c r="AE186">
        <v>0.2030751820298779</v>
      </c>
      <c r="AF186">
        <v>0.1178354751857299</v>
      </c>
      <c r="AG186">
        <v>0.18140356909456051</v>
      </c>
      <c r="AH186">
        <v>-3.1117659666370381E-2</v>
      </c>
      <c r="AI186">
        <v>0.14255764648533059</v>
      </c>
      <c r="AJ186">
        <v>9.2701296158885935E-2</v>
      </c>
      <c r="AK186">
        <v>-1.8609411150129481E-2</v>
      </c>
      <c r="AL186">
        <v>0.23343613474870981</v>
      </c>
      <c r="AM186">
        <v>0.16695986048130801</v>
      </c>
      <c r="AN186">
        <v>1.331610148647377E-2</v>
      </c>
      <c r="AO186">
        <v>8.6596364098639952E-2</v>
      </c>
      <c r="AP186">
        <v>-6.7619300288975503E-2</v>
      </c>
      <c r="AQ186">
        <v>-3.7253747959831683E-2</v>
      </c>
      <c r="AR186">
        <v>0.26810693892651749</v>
      </c>
      <c r="AS186">
        <v>-7.2339998338894762E-2</v>
      </c>
      <c r="AT186">
        <v>0.18114512197140739</v>
      </c>
      <c r="AU186">
        <v>5.5206211938662861E-2</v>
      </c>
      <c r="AV186">
        <v>0.16892779603483679</v>
      </c>
      <c r="AW186">
        <v>0.22844327323786259</v>
      </c>
      <c r="AX186">
        <v>0.11570127029026279</v>
      </c>
    </row>
    <row r="187" spans="1:50" x14ac:dyDescent="0.25">
      <c r="A187">
        <v>1.082489489442494E-2</v>
      </c>
      <c r="B187">
        <v>5.8278352432857103E-2</v>
      </c>
      <c r="C187">
        <v>-2.785012901082168E-3</v>
      </c>
      <c r="D187">
        <v>5.1979618318661901E-2</v>
      </c>
      <c r="E187">
        <v>2.0241915824322641E-2</v>
      </c>
      <c r="F187">
        <v>4.3236560049545833E-2</v>
      </c>
      <c r="G187">
        <v>2.1291170460646741E-2</v>
      </c>
      <c r="H187">
        <v>-3.8717258956179898E-4</v>
      </c>
      <c r="I187">
        <v>5.9184388431824716E-3</v>
      </c>
      <c r="J187">
        <v>5.4522846700923361E-2</v>
      </c>
      <c r="K187">
        <v>4.0626209501512023E-2</v>
      </c>
      <c r="L187">
        <v>5.4639641627388302E-3</v>
      </c>
      <c r="M187">
        <v>4.4206042991783497E-2</v>
      </c>
      <c r="N187">
        <v>2.7633192748491402E-2</v>
      </c>
      <c r="O187">
        <v>7.947189229983144E-2</v>
      </c>
      <c r="P187">
        <v>2.659767257702399E-2</v>
      </c>
      <c r="Q187">
        <v>6.6486899152499862E-2</v>
      </c>
      <c r="R187">
        <v>7.6382169444341869E-2</v>
      </c>
      <c r="S187">
        <v>2.372295881185359E-2</v>
      </c>
      <c r="T187">
        <v>1.4661039685110259E-2</v>
      </c>
      <c r="U187">
        <v>6.2594895702943978E-2</v>
      </c>
      <c r="V187">
        <v>2.9935233094891101E-2</v>
      </c>
      <c r="W187">
        <v>3.3813922018737799E-2</v>
      </c>
      <c r="X187">
        <v>1.169629807969167E-3</v>
      </c>
      <c r="Y187">
        <v>4.8158920395909639E-2</v>
      </c>
      <c r="Z187">
        <v>0.1056751916733439</v>
      </c>
      <c r="AA187">
        <v>4.6261545109738497E-2</v>
      </c>
      <c r="AB187">
        <v>2.6219044713458151E-2</v>
      </c>
      <c r="AC187">
        <v>8.8760465708660162E-3</v>
      </c>
      <c r="AD187">
        <v>-6.845134873716502E-3</v>
      </c>
      <c r="AE187">
        <v>6.1868626823893262E-2</v>
      </c>
      <c r="AF187">
        <v>1.8490542167194469E-2</v>
      </c>
      <c r="AG187">
        <v>4.6500822718609482E-2</v>
      </c>
      <c r="AH187">
        <v>1.8222108847138981E-2</v>
      </c>
      <c r="AI187">
        <v>3.9037016734724282E-2</v>
      </c>
      <c r="AJ187">
        <v>5.5558697658068978E-2</v>
      </c>
      <c r="AK187">
        <v>6.1941402350779457E-3</v>
      </c>
      <c r="AL187">
        <v>6.2427705376623392E-2</v>
      </c>
      <c r="AM187">
        <v>3.0854830782950239E-2</v>
      </c>
      <c r="AN187">
        <v>2.2568752776085541E-2</v>
      </c>
      <c r="AO187">
        <v>1.0678231996103439E-2</v>
      </c>
      <c r="AP187">
        <v>-3.5047658602055873E-2</v>
      </c>
      <c r="AQ187">
        <v>1.103024821333419E-2</v>
      </c>
      <c r="AR187">
        <v>5.9099192356600633E-2</v>
      </c>
      <c r="AS187">
        <v>3.6901458636967928E-2</v>
      </c>
      <c r="AT187">
        <v>1.5269218887847359E-2</v>
      </c>
      <c r="AU187">
        <v>5.7917181019139098E-2</v>
      </c>
      <c r="AV187">
        <v>5.2424823906125823E-2</v>
      </c>
      <c r="AW187">
        <v>4.274712148971798E-2</v>
      </c>
      <c r="AX187">
        <v>1.8131815735790272E-2</v>
      </c>
    </row>
    <row r="188" spans="1:50" x14ac:dyDescent="0.25">
      <c r="A188">
        <v>-0.17837825549120889</v>
      </c>
      <c r="B188">
        <v>-0.18515775225355219</v>
      </c>
      <c r="C188">
        <v>0.21748347093909351</v>
      </c>
      <c r="D188">
        <v>0.33353687007426269</v>
      </c>
      <c r="E188">
        <v>7.4060713519703933E-2</v>
      </c>
      <c r="F188">
        <v>4.2044187854292911E-2</v>
      </c>
      <c r="G188">
        <v>9.7004193248692139E-2</v>
      </c>
      <c r="H188">
        <v>1.6417405844742251E-2</v>
      </c>
      <c r="I188">
        <v>-0.21766501320718901</v>
      </c>
      <c r="J188">
        <v>0.34875923706809608</v>
      </c>
      <c r="K188">
        <v>-5.8503229168473517E-2</v>
      </c>
      <c r="L188">
        <v>0.28333285739544328</v>
      </c>
      <c r="M188">
        <v>-0.1740713777004648</v>
      </c>
      <c r="N188">
        <v>1.942952144999421E-2</v>
      </c>
      <c r="O188">
        <v>0.40831234772337072</v>
      </c>
      <c r="P188">
        <v>4.450573677770292E-2</v>
      </c>
      <c r="Q188">
        <v>1.4248643182300539E-2</v>
      </c>
      <c r="R188">
        <v>0.1209738091249845</v>
      </c>
      <c r="S188">
        <v>0.29690215101159062</v>
      </c>
      <c r="T188">
        <v>1.087852787096653E-2</v>
      </c>
      <c r="U188">
        <v>0.5451058216158764</v>
      </c>
      <c r="V188">
        <v>0.49102093278419451</v>
      </c>
      <c r="W188">
        <v>-2.288662573573191E-2</v>
      </c>
      <c r="X188">
        <v>0.42526381896407489</v>
      </c>
      <c r="Y188">
        <v>-7.5872929575354117E-2</v>
      </c>
      <c r="Z188">
        <v>6.1367579834400859E-2</v>
      </c>
      <c r="AA188">
        <v>0.2367242448666686</v>
      </c>
      <c r="AB188">
        <v>-0.25148129431804389</v>
      </c>
      <c r="AC188">
        <v>-4.2868943034519623E-2</v>
      </c>
      <c r="AD188">
        <v>-0.33482137812659207</v>
      </c>
      <c r="AE188">
        <v>0.13013458669928449</v>
      </c>
      <c r="AF188">
        <v>-0.21515952984929751</v>
      </c>
      <c r="AG188">
        <v>0.26464765268045798</v>
      </c>
      <c r="AH188">
        <v>0.48458387352312532</v>
      </c>
      <c r="AI188">
        <v>-2.44882455019277E-2</v>
      </c>
      <c r="AJ188">
        <v>-1.0085557776982911E-2</v>
      </c>
      <c r="AK188">
        <v>4.6904056337768972E-2</v>
      </c>
      <c r="AL188">
        <v>-1.148002185448329E-2</v>
      </c>
      <c r="AM188">
        <v>0.44548238915900318</v>
      </c>
      <c r="AN188">
        <v>0.54697077764808777</v>
      </c>
      <c r="AO188">
        <v>0.2221982742558698</v>
      </c>
      <c r="AP188">
        <v>0.30364307598528911</v>
      </c>
      <c r="AQ188">
        <v>2.9364191833524358E-2</v>
      </c>
      <c r="AR188">
        <v>-0.19951051594496819</v>
      </c>
      <c r="AS188">
        <v>0.31706796498413892</v>
      </c>
      <c r="AT188">
        <v>0.15016316153259121</v>
      </c>
      <c r="AU188">
        <v>-0.18461011012014181</v>
      </c>
      <c r="AV188">
        <v>0.2903482949826291</v>
      </c>
      <c r="AW188">
        <v>-0.2056621979689813</v>
      </c>
      <c r="AX188">
        <v>-6.3294805377567792E-2</v>
      </c>
    </row>
    <row r="189" spans="1:50" x14ac:dyDescent="0.25">
      <c r="A189">
        <v>-0.14245607637553359</v>
      </c>
      <c r="B189">
        <v>0.47345868411515202</v>
      </c>
      <c r="C189">
        <v>0.13830742172177959</v>
      </c>
      <c r="D189">
        <v>-0.1352636217903169</v>
      </c>
      <c r="E189">
        <v>-0.4055309372129029</v>
      </c>
      <c r="F189">
        <v>7.9095525319710161E-2</v>
      </c>
      <c r="G189">
        <v>-0.34999230539196707</v>
      </c>
      <c r="H189">
        <v>0.17036198527220689</v>
      </c>
      <c r="I189">
        <v>-0.63608192696146626</v>
      </c>
      <c r="J189">
        <v>-0.29112106793375409</v>
      </c>
      <c r="K189">
        <v>-0.17304623310460929</v>
      </c>
      <c r="L189">
        <v>-0.36333689205758751</v>
      </c>
      <c r="M189">
        <v>0.1389298174511075</v>
      </c>
      <c r="N189">
        <v>0.19143712103852761</v>
      </c>
      <c r="O189">
        <v>0.26869150651399459</v>
      </c>
      <c r="P189">
        <v>-0.32285764985439153</v>
      </c>
      <c r="Q189">
        <v>-2.0858072278967989E-3</v>
      </c>
      <c r="R189">
        <v>3.8448989602469237E-2</v>
      </c>
      <c r="S189">
        <v>0.48628272313166382</v>
      </c>
      <c r="T189">
        <v>-0.40313149196280729</v>
      </c>
      <c r="U189">
        <v>0.61206907751535233</v>
      </c>
      <c r="V189">
        <v>-0.16413069334968541</v>
      </c>
      <c r="W189">
        <v>-0.19804799674427509</v>
      </c>
      <c r="X189">
        <v>-0.32923142629425572</v>
      </c>
      <c r="Y189">
        <v>-0.15789080652715951</v>
      </c>
      <c r="Z189">
        <v>0.33633333722406972</v>
      </c>
      <c r="AA189">
        <v>-4.962857706339599E-2</v>
      </c>
      <c r="AB189">
        <v>-2.5026106741892349E-2</v>
      </c>
      <c r="AC189">
        <v>6.6593580336411495E-2</v>
      </c>
      <c r="AD189">
        <v>4.7087334076145624E-3</v>
      </c>
      <c r="AE189">
        <v>0.15502659661693899</v>
      </c>
      <c r="AF189">
        <v>8.0450171302547963E-3</v>
      </c>
      <c r="AG189">
        <v>0.27362242716390051</v>
      </c>
      <c r="AH189">
        <v>-0.46718047961365777</v>
      </c>
      <c r="AI189">
        <v>-0.1044195214981738</v>
      </c>
      <c r="AJ189">
        <v>4.4105757381990331E-2</v>
      </c>
      <c r="AK189">
        <v>-2.9511863042407441E-2</v>
      </c>
      <c r="AL189">
        <v>0.1110231115499187</v>
      </c>
      <c r="AM189">
        <v>-3.3251818210127473E-2</v>
      </c>
      <c r="AN189">
        <v>-0.1371220402145833</v>
      </c>
      <c r="AO189">
        <v>-0.34090399552626488</v>
      </c>
      <c r="AP189">
        <v>-0.34307012563744632</v>
      </c>
      <c r="AQ189">
        <v>0.25826026595431062</v>
      </c>
      <c r="AR189">
        <v>0.22805488428373569</v>
      </c>
      <c r="AS189">
        <v>-0.45149174928239522</v>
      </c>
      <c r="AT189">
        <v>-8.877699113894362E-2</v>
      </c>
      <c r="AU189">
        <v>0.22045599552867401</v>
      </c>
      <c r="AV189">
        <v>2.247797815988398E-2</v>
      </c>
      <c r="AW189">
        <v>0.34638428779783897</v>
      </c>
      <c r="AX189">
        <v>0.14186349531299039</v>
      </c>
    </row>
    <row r="190" spans="1:50" x14ac:dyDescent="0.25">
      <c r="A190">
        <v>-1.834361537959682E-2</v>
      </c>
      <c r="B190">
        <v>7.5815275278526356E-2</v>
      </c>
      <c r="C190">
        <v>-4.1237199770609162E-2</v>
      </c>
      <c r="D190">
        <v>0.26154744083099962</v>
      </c>
      <c r="E190">
        <v>-7.3349306643754067E-2</v>
      </c>
      <c r="F190">
        <v>0.15843022113534541</v>
      </c>
      <c r="G190">
        <v>9.3581375271135331E-2</v>
      </c>
      <c r="H190">
        <v>-7.7651073451149924E-3</v>
      </c>
      <c r="I190">
        <v>0.32443438205638492</v>
      </c>
      <c r="J190">
        <v>0.17674552131852511</v>
      </c>
      <c r="K190">
        <v>-0.12859724238477471</v>
      </c>
      <c r="L190">
        <v>-1.33111267776794E-3</v>
      </c>
      <c r="M190">
        <v>-5.1636012535520429E-2</v>
      </c>
      <c r="N190">
        <v>2.0254088146927501E-2</v>
      </c>
      <c r="O190">
        <v>-9.775550917780939E-3</v>
      </c>
      <c r="P190">
        <v>0.14798976003309969</v>
      </c>
      <c r="Q190">
        <v>-7.6559240691771627E-2</v>
      </c>
      <c r="R190">
        <v>0.15317873240065341</v>
      </c>
      <c r="S190">
        <v>0.26817609679923582</v>
      </c>
      <c r="T190">
        <v>-7.2303054215500151E-2</v>
      </c>
      <c r="U190">
        <v>-9.8867040523067426E-2</v>
      </c>
      <c r="V190">
        <v>-2.4212230279453031E-2</v>
      </c>
      <c r="W190">
        <v>0.2157899093356424</v>
      </c>
      <c r="X190">
        <v>8.7917703098748454E-3</v>
      </c>
      <c r="Y190">
        <v>0.16669434809574929</v>
      </c>
      <c r="Z190">
        <v>0.1797298785540084</v>
      </c>
      <c r="AA190">
        <v>0.16436194402332291</v>
      </c>
      <c r="AB190">
        <v>3.7347381048248057E-2</v>
      </c>
      <c r="AC190">
        <v>8.1343060537150281E-3</v>
      </c>
      <c r="AD190">
        <v>-0.14396582525253429</v>
      </c>
      <c r="AE190">
        <v>-6.0171031501382879E-2</v>
      </c>
      <c r="AF190">
        <v>-6.9804389796725319E-2</v>
      </c>
      <c r="AG190">
        <v>0.15009161165067991</v>
      </c>
      <c r="AH190">
        <v>0.13186215338095519</v>
      </c>
      <c r="AI190">
        <v>-3.3771561947553659E-2</v>
      </c>
      <c r="AJ190">
        <v>0.25255831945776092</v>
      </c>
      <c r="AK190">
        <v>6.2485964637270339E-2</v>
      </c>
      <c r="AL190">
        <v>-7.3021654427040741E-2</v>
      </c>
      <c r="AM190">
        <v>0.14671469683462821</v>
      </c>
      <c r="AN190">
        <v>-0.1268325796178088</v>
      </c>
      <c r="AO190">
        <v>0.12569344483964959</v>
      </c>
      <c r="AP190">
        <v>0.119046072836355</v>
      </c>
      <c r="AQ190">
        <v>1.2120835474213561E-2</v>
      </c>
      <c r="AR190">
        <v>5.163949237896779E-2</v>
      </c>
      <c r="AS190">
        <v>-0.17675498184452251</v>
      </c>
      <c r="AT190">
        <v>-0.12878825933500479</v>
      </c>
      <c r="AU190">
        <v>0.17287914947438399</v>
      </c>
      <c r="AV190">
        <v>-0.1101149798788582</v>
      </c>
      <c r="AW190">
        <v>0.21563760920155919</v>
      </c>
      <c r="AX190">
        <v>-5.7198248028867443E-2</v>
      </c>
    </row>
    <row r="191" spans="1:50" x14ac:dyDescent="0.25">
      <c r="A191">
        <v>0.3354881495702256</v>
      </c>
      <c r="B191">
        <v>4.674903227007695E-2</v>
      </c>
      <c r="C191">
        <v>0.17353851976970661</v>
      </c>
      <c r="D191">
        <v>0.12441800941732099</v>
      </c>
      <c r="E191">
        <v>-0.2065536032507499</v>
      </c>
      <c r="F191">
        <v>-4.2573703879308887E-2</v>
      </c>
      <c r="G191">
        <v>7.4821151306175337E-2</v>
      </c>
      <c r="H191">
        <v>0.13575780669931681</v>
      </c>
      <c r="I191">
        <v>-6.6220684292564502E-2</v>
      </c>
      <c r="J191">
        <v>0.1842408041647714</v>
      </c>
      <c r="K191">
        <v>0.28275528750826451</v>
      </c>
      <c r="L191">
        <v>-0.13371494203827891</v>
      </c>
      <c r="M191">
        <v>3.054075369973144E-3</v>
      </c>
      <c r="N191">
        <v>0.38304690576785327</v>
      </c>
      <c r="O191">
        <v>0.54716233536975223</v>
      </c>
      <c r="P191">
        <v>-0.1139069162288326</v>
      </c>
      <c r="Q191">
        <v>-0.14807728548023849</v>
      </c>
      <c r="R191">
        <v>0.1106332745603275</v>
      </c>
      <c r="S191">
        <v>-7.0703899291606018E-2</v>
      </c>
      <c r="T191">
        <v>1.6307725915684222E-2</v>
      </c>
      <c r="U191">
        <v>-0.23076443304011571</v>
      </c>
      <c r="V191">
        <v>0.15714679800539541</v>
      </c>
      <c r="W191">
        <v>0.1127951139175085</v>
      </c>
      <c r="X191">
        <v>-0.1914585884753085</v>
      </c>
      <c r="Y191">
        <v>1.10648268028087E-2</v>
      </c>
      <c r="Z191">
        <v>8.5758704155568834E-3</v>
      </c>
      <c r="AA191">
        <v>0.25687946234319092</v>
      </c>
      <c r="AB191">
        <v>-0.1948270420222461</v>
      </c>
      <c r="AC191">
        <v>0.2294130494229136</v>
      </c>
      <c r="AD191">
        <v>-1.7626729065211712E-2</v>
      </c>
      <c r="AE191">
        <v>-2.565480798859137E-2</v>
      </c>
      <c r="AF191">
        <v>-0.1073240979312841</v>
      </c>
      <c r="AG191">
        <v>0.14651154828257429</v>
      </c>
      <c r="AH191">
        <v>0.24955348142667749</v>
      </c>
      <c r="AI191">
        <v>-0.10693937056771551</v>
      </c>
      <c r="AJ191">
        <v>0.27519651973792142</v>
      </c>
      <c r="AK191">
        <v>-5.1664153070313169E-2</v>
      </c>
      <c r="AL191">
        <v>-0.16691905649203209</v>
      </c>
      <c r="AM191">
        <v>0.2386066928433018</v>
      </c>
      <c r="AN191">
        <v>-0.17577195289891459</v>
      </c>
      <c r="AO191">
        <v>-0.23157918274486039</v>
      </c>
      <c r="AP191">
        <v>-5.1487800404433331E-3</v>
      </c>
      <c r="AQ191">
        <v>-0.1522688941251841</v>
      </c>
      <c r="AR191">
        <v>-1.3827396479614061E-2</v>
      </c>
      <c r="AS191">
        <v>-3.2377028349502693E-2</v>
      </c>
      <c r="AT191">
        <v>-0.1252202028102177</v>
      </c>
      <c r="AU191">
        <v>0.21022013524686731</v>
      </c>
      <c r="AV191">
        <v>-0.27529477825418869</v>
      </c>
      <c r="AW191">
        <v>-3.1509907349281142E-2</v>
      </c>
      <c r="AX191">
        <v>-8.1455980194445263E-2</v>
      </c>
    </row>
    <row r="192" spans="1:50" x14ac:dyDescent="0.25">
      <c r="A192">
        <v>0.1084180667945582</v>
      </c>
      <c r="B192">
        <v>-6.3954092921790495E-2</v>
      </c>
      <c r="C192">
        <v>0.29514363844817532</v>
      </c>
      <c r="D192">
        <v>-0.28652196044045058</v>
      </c>
      <c r="E192">
        <v>0.28787621044318651</v>
      </c>
      <c r="F192">
        <v>-0.23407370766146821</v>
      </c>
      <c r="G192">
        <v>7.3490259510433406E-2</v>
      </c>
      <c r="H192">
        <v>0.17126716993775909</v>
      </c>
      <c r="I192">
        <v>-0.52513013420948673</v>
      </c>
      <c r="J192">
        <v>0.1330641643471481</v>
      </c>
      <c r="K192">
        <v>-0.36220496887569742</v>
      </c>
      <c r="L192">
        <v>8.7679643050386363E-2</v>
      </c>
      <c r="M192">
        <v>0.121669545650646</v>
      </c>
      <c r="N192">
        <v>0.1992691993576888</v>
      </c>
      <c r="O192">
        <v>-0.31278576340629533</v>
      </c>
      <c r="P192">
        <v>-6.932070059097982E-2</v>
      </c>
      <c r="Q192">
        <v>-0.1398750586158731</v>
      </c>
      <c r="R192">
        <v>0.1751748291918635</v>
      </c>
      <c r="S192">
        <v>0.29732647760212089</v>
      </c>
      <c r="T192">
        <v>-5.434970300343147E-2</v>
      </c>
      <c r="U192">
        <v>3.7397075106651662E-2</v>
      </c>
      <c r="V192">
        <v>-0.20783557834106231</v>
      </c>
      <c r="W192">
        <v>-0.27257724734337729</v>
      </c>
      <c r="X192">
        <v>-0.55431629107490721</v>
      </c>
      <c r="Y192">
        <v>-4.9379165441697799E-2</v>
      </c>
      <c r="Z192">
        <v>0.13504421198712019</v>
      </c>
      <c r="AA192">
        <v>9.5127296684499263E-2</v>
      </c>
      <c r="AB192">
        <v>0.17091841046020101</v>
      </c>
      <c r="AC192">
        <v>-0.3553312192335677</v>
      </c>
      <c r="AD192">
        <v>0.20080624494608409</v>
      </c>
      <c r="AE192">
        <v>0.38881440463716699</v>
      </c>
      <c r="AF192">
        <v>-0.12677101897795959</v>
      </c>
      <c r="AG192">
        <v>-3.0245955864215711E-2</v>
      </c>
      <c r="AH192">
        <v>-0.13111485549778831</v>
      </c>
      <c r="AI192">
        <v>-0.2411685096000753</v>
      </c>
      <c r="AJ192">
        <v>0.43538585046434519</v>
      </c>
      <c r="AK192">
        <v>-0.2991552079508904</v>
      </c>
      <c r="AL192">
        <v>-0.20547884202565489</v>
      </c>
      <c r="AM192">
        <v>0.36350847312350387</v>
      </c>
      <c r="AN192">
        <v>-7.3324473105204999E-2</v>
      </c>
      <c r="AO192">
        <v>-4.1089246082940581E-2</v>
      </c>
      <c r="AP192">
        <v>-0.29358563422267397</v>
      </c>
      <c r="AQ192">
        <v>-0.1142942535918082</v>
      </c>
      <c r="AR192">
        <v>-3.8764446966794271E-2</v>
      </c>
      <c r="AS192">
        <v>-0.13037653800775559</v>
      </c>
      <c r="AT192">
        <v>-0.29254292120317099</v>
      </c>
      <c r="AU192">
        <v>2.5192645806093459E-2</v>
      </c>
      <c r="AV192">
        <v>0.47406655279832433</v>
      </c>
      <c r="AW192">
        <v>-0.146059055691344</v>
      </c>
      <c r="AX192">
        <v>-0.21257151710437941</v>
      </c>
    </row>
    <row r="193" spans="1:50" x14ac:dyDescent="0.25">
      <c r="A193">
        <v>-9.0644736333533621E-2</v>
      </c>
      <c r="B193">
        <v>-2.4076998015162651E-2</v>
      </c>
      <c r="C193">
        <v>2.028997564246578E-2</v>
      </c>
      <c r="D193">
        <v>-2.995487639208105E-2</v>
      </c>
      <c r="E193">
        <v>0.12094749712573789</v>
      </c>
      <c r="F193">
        <v>3.0450426247129819E-2</v>
      </c>
      <c r="G193">
        <v>0.12187289185902669</v>
      </c>
      <c r="H193">
        <v>7.7684964409626772E-2</v>
      </c>
      <c r="I193">
        <v>2.1935232058225021E-2</v>
      </c>
      <c r="J193">
        <v>9.0705441387219768E-2</v>
      </c>
      <c r="K193">
        <v>0.12207442903354231</v>
      </c>
      <c r="L193">
        <v>6.3766834766360261E-2</v>
      </c>
      <c r="M193">
        <v>0.18800107086806109</v>
      </c>
      <c r="N193">
        <v>2.042211588092803E-2</v>
      </c>
      <c r="O193">
        <v>-5.3546886949089212E-2</v>
      </c>
      <c r="P193">
        <v>-7.7350465025951984E-2</v>
      </c>
      <c r="Q193">
        <v>0.1001041337231364</v>
      </c>
      <c r="R193">
        <v>0.11248785752746709</v>
      </c>
      <c r="S193">
        <v>-1.0604047781959751E-2</v>
      </c>
      <c r="T193">
        <v>-7.0509587017785549E-2</v>
      </c>
      <c r="U193">
        <v>7.7712547011771684E-3</v>
      </c>
      <c r="V193">
        <v>3.3075166233350842E-2</v>
      </c>
      <c r="W193">
        <v>0.15709347921314579</v>
      </c>
      <c r="X193">
        <v>0.11715506958263069</v>
      </c>
      <c r="Y193">
        <v>8.3053235082403684E-2</v>
      </c>
      <c r="Z193">
        <v>0.25048267534506469</v>
      </c>
      <c r="AA193">
        <v>-5.2771632323073817E-2</v>
      </c>
      <c r="AB193">
        <v>9.1564514934980579E-2</v>
      </c>
      <c r="AC193">
        <v>-0.14955298080951271</v>
      </c>
      <c r="AD193">
        <v>-1.4742186299557369E-2</v>
      </c>
      <c r="AE193">
        <v>7.9552969384170349E-2</v>
      </c>
      <c r="AF193">
        <v>6.2269834470759837E-2</v>
      </c>
      <c r="AG193">
        <v>-3.1481960802863301E-4</v>
      </c>
      <c r="AH193">
        <v>-6.6622753603982787E-2</v>
      </c>
      <c r="AI193">
        <v>3.5815755337659698E-3</v>
      </c>
      <c r="AJ193">
        <v>0.1095990349406618</v>
      </c>
      <c r="AK193">
        <v>-5.7495779263349547E-2</v>
      </c>
      <c r="AL193">
        <v>0.12348161328227419</v>
      </c>
      <c r="AM193">
        <v>6.1441347556148357E-2</v>
      </c>
      <c r="AN193">
        <v>-3.9300372547782403E-2</v>
      </c>
      <c r="AO193">
        <v>-7.3010465251264034E-2</v>
      </c>
      <c r="AP193">
        <v>0.14254996715441379</v>
      </c>
      <c r="AQ193">
        <v>-7.8771377388711455E-2</v>
      </c>
      <c r="AR193">
        <v>-0.1250692530399557</v>
      </c>
      <c r="AS193">
        <v>-4.857829955299893E-2</v>
      </c>
      <c r="AT193">
        <v>-3.019814553896974E-2</v>
      </c>
      <c r="AU193">
        <v>-5.2763506992853197E-3</v>
      </c>
      <c r="AV193">
        <v>-6.1004726724247657E-2</v>
      </c>
      <c r="AW193">
        <v>0.13244759847842699</v>
      </c>
      <c r="AX193">
        <v>-5.3865786389842747E-2</v>
      </c>
    </row>
    <row r="194" spans="1:50" x14ac:dyDescent="0.25">
      <c r="A194">
        <v>-4.5923865122043453E-2</v>
      </c>
      <c r="B194">
        <v>0.11794176522282269</v>
      </c>
      <c r="C194">
        <v>-0.32655454283580237</v>
      </c>
      <c r="D194">
        <v>-0.11256402879238191</v>
      </c>
      <c r="E194">
        <v>9.38157124326419E-3</v>
      </c>
      <c r="F194">
        <v>0.66724043551801571</v>
      </c>
      <c r="G194">
        <v>8.618992480043601E-2</v>
      </c>
      <c r="H194">
        <v>-0.12238944221158871</v>
      </c>
      <c r="I194">
        <v>-0.1798371962969873</v>
      </c>
      <c r="J194">
        <v>3.8290326805512448E-2</v>
      </c>
      <c r="K194">
        <v>-0.35129652294470592</v>
      </c>
      <c r="L194">
        <v>0.49413021539407159</v>
      </c>
      <c r="M194">
        <v>-0.2499272940157182</v>
      </c>
      <c r="N194">
        <v>0.21453365819535139</v>
      </c>
      <c r="O194">
        <v>-8.0496129413368908E-2</v>
      </c>
      <c r="P194">
        <v>0.12232781135746459</v>
      </c>
      <c r="Q194">
        <v>-0.36461504595565281</v>
      </c>
      <c r="R194">
        <v>-0.1362609463122057</v>
      </c>
      <c r="S194">
        <v>-0.16779305937970021</v>
      </c>
      <c r="T194">
        <v>-0.1331211229273791</v>
      </c>
      <c r="U194">
        <v>0.2305565133311534</v>
      </c>
      <c r="V194">
        <v>0.1946466913160757</v>
      </c>
      <c r="W194">
        <v>-7.9094614481649894E-2</v>
      </c>
      <c r="X194">
        <v>0.1581209087514889</v>
      </c>
      <c r="Y194">
        <v>0.25449105049091242</v>
      </c>
      <c r="Z194">
        <v>5.7772361243500069E-2</v>
      </c>
      <c r="AA194">
        <v>0.25276440470806422</v>
      </c>
      <c r="AB194">
        <v>-0.1848031944185892</v>
      </c>
      <c r="AC194">
        <v>-0.31654485909077867</v>
      </c>
      <c r="AD194">
        <v>-0.18362398154454651</v>
      </c>
      <c r="AE194">
        <v>0.1175869779972018</v>
      </c>
      <c r="AF194">
        <v>-0.30130644363708642</v>
      </c>
      <c r="AG194">
        <v>0.21362952511889891</v>
      </c>
      <c r="AH194">
        <v>7.6547317920880709E-2</v>
      </c>
      <c r="AI194">
        <v>-6.1522688625678321E-2</v>
      </c>
      <c r="AJ194">
        <v>-0.26745928101187122</v>
      </c>
      <c r="AK194">
        <v>0.16390769444159181</v>
      </c>
      <c r="AL194">
        <v>-3.070573850741673E-2</v>
      </c>
      <c r="AM194">
        <v>-2.235680969699896E-2</v>
      </c>
      <c r="AN194">
        <v>0.10940639125720659</v>
      </c>
      <c r="AO194">
        <v>0.18286128985518871</v>
      </c>
      <c r="AP194">
        <v>-0.14275016005423591</v>
      </c>
      <c r="AQ194">
        <v>6.2327672945295842E-2</v>
      </c>
      <c r="AR194">
        <v>0.1253955756796975</v>
      </c>
      <c r="AS194">
        <v>-0.31398809208052619</v>
      </c>
      <c r="AT194">
        <v>0.69538192192463788</v>
      </c>
      <c r="AU194">
        <v>-0.25693327103571451</v>
      </c>
      <c r="AV194">
        <v>5.5869339499086033E-2</v>
      </c>
      <c r="AW194">
        <v>3.4977519318815022E-2</v>
      </c>
      <c r="AX194">
        <v>5.330373558992943E-2</v>
      </c>
    </row>
    <row r="195" spans="1:50" x14ac:dyDescent="0.25">
      <c r="A195">
        <v>-0.26728419316913787</v>
      </c>
      <c r="B195">
        <v>0.146669180541384</v>
      </c>
      <c r="C195">
        <v>3.0637766699083531E-2</v>
      </c>
      <c r="D195">
        <v>8.6094281750388121E-2</v>
      </c>
      <c r="E195">
        <v>-8.8049859057991078E-2</v>
      </c>
      <c r="F195">
        <v>0.1430003062730299</v>
      </c>
      <c r="G195">
        <v>-0.23625325886683521</v>
      </c>
      <c r="H195">
        <v>0.1425460071573946</v>
      </c>
      <c r="I195">
        <v>4.5959331937405222E-2</v>
      </c>
      <c r="J195">
        <v>-5.6403860085722096E-3</v>
      </c>
      <c r="K195">
        <v>-1.143189348768414E-2</v>
      </c>
      <c r="L195">
        <v>-8.0057004914760407E-2</v>
      </c>
      <c r="M195">
        <v>-0.19003608572400199</v>
      </c>
      <c r="N195">
        <v>1.5936348301661251E-2</v>
      </c>
      <c r="O195">
        <v>-9.7235062946532086E-2</v>
      </c>
      <c r="P195">
        <v>-4.2767095280147653E-2</v>
      </c>
      <c r="Q195">
        <v>-2.061871489416197E-2</v>
      </c>
      <c r="R195">
        <v>-0.14268354676936509</v>
      </c>
      <c r="S195">
        <v>-0.2021119683762907</v>
      </c>
      <c r="T195">
        <v>0.46832509844949177</v>
      </c>
      <c r="U195">
        <v>0.1044650534870686</v>
      </c>
      <c r="V195">
        <v>1.1227348566847071E-2</v>
      </c>
      <c r="W195">
        <v>3.9060887235100678E-2</v>
      </c>
      <c r="X195">
        <v>0.16372216602820269</v>
      </c>
      <c r="Y195">
        <v>-5.3967182659253512E-3</v>
      </c>
      <c r="Z195">
        <v>1.248177905338323E-2</v>
      </c>
      <c r="AA195">
        <v>0.15554992865418019</v>
      </c>
      <c r="AB195">
        <v>0.15109386748246059</v>
      </c>
      <c r="AC195">
        <v>-0.19737532748420819</v>
      </c>
      <c r="AD195">
        <v>9.1063822839400274E-2</v>
      </c>
      <c r="AE195">
        <v>-0.10987997864305971</v>
      </c>
      <c r="AF195">
        <v>-0.1471643076505196</v>
      </c>
      <c r="AG195">
        <v>-5.5462201642912573E-2</v>
      </c>
      <c r="AH195">
        <v>-0.12568469116380951</v>
      </c>
      <c r="AI195">
        <v>0.34573592588967322</v>
      </c>
      <c r="AJ195">
        <v>8.3517051599708465E-3</v>
      </c>
      <c r="AK195">
        <v>-2.034696595775963E-2</v>
      </c>
      <c r="AL195">
        <v>-1.393162960464684E-2</v>
      </c>
      <c r="AM195">
        <v>0.48650544067014101</v>
      </c>
      <c r="AN195">
        <v>0.20353443702651719</v>
      </c>
      <c r="AO195">
        <v>4.5526981652838E-2</v>
      </c>
      <c r="AP195">
        <v>0.38223695274446662</v>
      </c>
      <c r="AQ195">
        <v>9.8969430790705873E-2</v>
      </c>
      <c r="AR195">
        <v>-7.6875838368871824E-2</v>
      </c>
      <c r="AS195">
        <v>-0.19639193822581441</v>
      </c>
      <c r="AT195">
        <v>0.11944929980743089</v>
      </c>
      <c r="AU195">
        <v>0.46940063522366238</v>
      </c>
      <c r="AV195">
        <v>-0.17541103687577461</v>
      </c>
      <c r="AW195">
        <v>-0.14360636867470961</v>
      </c>
      <c r="AX195">
        <v>2.5725344266273681E-2</v>
      </c>
    </row>
    <row r="196" spans="1:50" x14ac:dyDescent="0.25">
      <c r="A196">
        <v>0.143223838851054</v>
      </c>
      <c r="B196">
        <v>-2.87325905178893E-2</v>
      </c>
      <c r="C196">
        <v>-5.2634661977591273E-3</v>
      </c>
      <c r="D196">
        <v>5.2757736076100982E-4</v>
      </c>
      <c r="E196">
        <v>2.0374903340228991E-2</v>
      </c>
      <c r="F196">
        <v>-0.13673396415797481</v>
      </c>
      <c r="G196">
        <v>-2.3617293164681509E-2</v>
      </c>
      <c r="H196">
        <v>0.26603173762579091</v>
      </c>
      <c r="I196">
        <v>-7.3459888059621725E-2</v>
      </c>
      <c r="J196">
        <v>-4.869676447609602E-2</v>
      </c>
      <c r="K196">
        <v>8.1471843764074084E-2</v>
      </c>
      <c r="L196">
        <v>8.3783079671606836E-2</v>
      </c>
      <c r="M196">
        <v>1.3394783243664891E-2</v>
      </c>
      <c r="N196">
        <v>-1.6955532763530689E-2</v>
      </c>
      <c r="O196">
        <v>-4.6064984693191993E-2</v>
      </c>
      <c r="P196">
        <v>-1.295634377661966E-2</v>
      </c>
      <c r="Q196">
        <v>-4.8124946675121162E-2</v>
      </c>
      <c r="R196">
        <v>5.967040711567731E-2</v>
      </c>
      <c r="S196">
        <v>3.3543224581656338E-2</v>
      </c>
      <c r="T196">
        <v>-8.7435950337447443E-2</v>
      </c>
      <c r="U196">
        <v>-0.19030446410532559</v>
      </c>
      <c r="V196">
        <v>0.16306997767964981</v>
      </c>
      <c r="W196">
        <v>-0.1116823008319059</v>
      </c>
      <c r="X196">
        <v>-4.0739006721813277E-2</v>
      </c>
      <c r="Y196">
        <v>-9.1351761871543244E-2</v>
      </c>
      <c r="Z196">
        <v>6.4723026837450889E-2</v>
      </c>
      <c r="AA196">
        <v>-2.42056133145922E-2</v>
      </c>
      <c r="AB196">
        <v>0.1506555239919779</v>
      </c>
      <c r="AC196">
        <v>-3.6098857587110657E-2</v>
      </c>
      <c r="AD196">
        <v>0.1467603571068932</v>
      </c>
      <c r="AE196">
        <v>-2.7805868199764949E-3</v>
      </c>
      <c r="AF196">
        <v>-5.3040719522141302E-2</v>
      </c>
      <c r="AG196">
        <v>0.22456648148579181</v>
      </c>
      <c r="AH196">
        <v>0.25939907105738769</v>
      </c>
      <c r="AI196">
        <v>-1.5515716998587829E-2</v>
      </c>
      <c r="AJ196">
        <v>-1.596648191268845E-2</v>
      </c>
      <c r="AK196">
        <v>-0.13924627074337831</v>
      </c>
      <c r="AL196">
        <v>0.1611126440160652</v>
      </c>
      <c r="AM196">
        <v>1.017430878850778E-2</v>
      </c>
      <c r="AN196">
        <v>4.1718450586414766E-3</v>
      </c>
      <c r="AO196">
        <v>4.5070375426800709E-2</v>
      </c>
      <c r="AP196">
        <v>-5.1862647690235589E-2</v>
      </c>
      <c r="AQ196">
        <v>-0.1319905820783967</v>
      </c>
      <c r="AR196">
        <v>-1.754247868089997E-3</v>
      </c>
      <c r="AS196">
        <v>3.0828484314045549E-3</v>
      </c>
      <c r="AT196">
        <v>-1.265436362885106E-2</v>
      </c>
      <c r="AU196">
        <v>9.2936994092735647E-2</v>
      </c>
      <c r="AV196">
        <v>-1.6108115962032609E-2</v>
      </c>
      <c r="AW196">
        <v>4.2609153632958377E-2</v>
      </c>
      <c r="AX196">
        <v>0.103658824051146</v>
      </c>
    </row>
    <row r="197" spans="1:50" x14ac:dyDescent="0.25">
      <c r="A197">
        <v>0.11920446130092011</v>
      </c>
      <c r="B197">
        <v>0.77933959728618141</v>
      </c>
      <c r="C197">
        <v>0.14565231653106181</v>
      </c>
      <c r="D197">
        <v>0.46141063341007821</v>
      </c>
      <c r="E197">
        <v>-5.9768785172058608E-2</v>
      </c>
      <c r="F197">
        <v>0.42265209872410631</v>
      </c>
      <c r="G197">
        <v>0.32120226686905828</v>
      </c>
      <c r="H197">
        <v>-0.57976819601045337</v>
      </c>
      <c r="I197">
        <v>-0.1568058966892947</v>
      </c>
      <c r="J197">
        <v>-0.48551088685642119</v>
      </c>
      <c r="K197">
        <v>-0.46732985388848769</v>
      </c>
      <c r="L197">
        <v>0.6509717681044257</v>
      </c>
      <c r="M197">
        <v>0.34783547980359603</v>
      </c>
      <c r="N197">
        <v>-0.20633620987086501</v>
      </c>
      <c r="O197">
        <v>-8.5052723456896018E-2</v>
      </c>
      <c r="P197">
        <v>0.33490825335058699</v>
      </c>
      <c r="Q197">
        <v>-0.1588956628698594</v>
      </c>
      <c r="R197">
        <v>7.8808171972300486E-2</v>
      </c>
      <c r="S197">
        <v>2.744674604221909E-2</v>
      </c>
      <c r="T197">
        <v>-0.32650413546077039</v>
      </c>
      <c r="U197">
        <v>-3.2494917238038143E-2</v>
      </c>
      <c r="V197">
        <v>0.19752693319365869</v>
      </c>
      <c r="W197">
        <v>0.16024172240193321</v>
      </c>
      <c r="X197">
        <v>-0.33136737613791628</v>
      </c>
      <c r="Y197">
        <v>0.15499172328240929</v>
      </c>
      <c r="Z197">
        <v>0.28568855716524849</v>
      </c>
      <c r="AA197">
        <v>-0.1949166097542295</v>
      </c>
      <c r="AB197">
        <v>0.16508216832910089</v>
      </c>
      <c r="AC197">
        <v>-0.21074641678008901</v>
      </c>
      <c r="AD197">
        <v>0.40779601556488271</v>
      </c>
      <c r="AE197">
        <v>-0.31256799526126622</v>
      </c>
      <c r="AF197">
        <v>0.38880141226343168</v>
      </c>
      <c r="AG197">
        <v>0.136707067895316</v>
      </c>
      <c r="AH197">
        <v>-0.14637185213595141</v>
      </c>
      <c r="AI197">
        <v>-0.33384032504973132</v>
      </c>
      <c r="AJ197">
        <v>-0.43281082393792958</v>
      </c>
      <c r="AK197">
        <v>6.5959739263445352E-2</v>
      </c>
      <c r="AL197">
        <v>4.2735178624849629E-2</v>
      </c>
      <c r="AM197">
        <v>4.4459876196285372E-2</v>
      </c>
      <c r="AN197">
        <v>2.8493636667847222E-3</v>
      </c>
      <c r="AO197">
        <v>0.54496373316643265</v>
      </c>
      <c r="AP197">
        <v>0.14739737114387549</v>
      </c>
      <c r="AQ197">
        <v>0.70620170362218171</v>
      </c>
      <c r="AR197">
        <v>0.42708124614048598</v>
      </c>
      <c r="AS197">
        <v>-0.40326031258363959</v>
      </c>
      <c r="AT197">
        <v>0.32988855561250602</v>
      </c>
      <c r="AU197">
        <v>0.43151112028503058</v>
      </c>
      <c r="AV197">
        <v>0.38338113062247181</v>
      </c>
      <c r="AW197">
        <v>4.8711482374613542E-2</v>
      </c>
      <c r="AX197">
        <v>0.1395584346397363</v>
      </c>
    </row>
    <row r="198" spans="1:50" x14ac:dyDescent="0.25">
      <c r="A198">
        <v>-0.21189116653343401</v>
      </c>
      <c r="B198">
        <v>0.14510565584665269</v>
      </c>
      <c r="C198">
        <v>0.19837752877545919</v>
      </c>
      <c r="D198">
        <v>0.23753837963430671</v>
      </c>
      <c r="E198">
        <v>-3.4065991756297792E-2</v>
      </c>
      <c r="F198">
        <v>-2.752858935631395E-2</v>
      </c>
      <c r="G198">
        <v>-0.227592272791726</v>
      </c>
      <c r="H198">
        <v>0.1280205474723162</v>
      </c>
      <c r="I198">
        <v>-3.5674499305943137E-2</v>
      </c>
      <c r="J198">
        <v>0.14119156242603101</v>
      </c>
      <c r="K198">
        <v>-2.240995621909439E-2</v>
      </c>
      <c r="L198">
        <v>-9.6537213165220612E-2</v>
      </c>
      <c r="M198">
        <v>0.40253316228148861</v>
      </c>
      <c r="N198">
        <v>0.1384266655819516</v>
      </c>
      <c r="O198">
        <v>-5.9491259162935871E-2</v>
      </c>
      <c r="P198">
        <v>-0.34117435476502239</v>
      </c>
      <c r="Q198">
        <v>-1.2705189109828419E-2</v>
      </c>
      <c r="R198">
        <v>0.1627115109274653</v>
      </c>
      <c r="S198">
        <v>0.36250915231206871</v>
      </c>
      <c r="T198">
        <v>0.1451829567591135</v>
      </c>
      <c r="U198">
        <v>-0.14169540447109721</v>
      </c>
      <c r="V198">
        <v>0.27710900217494422</v>
      </c>
      <c r="W198">
        <v>6.3772240338332911E-2</v>
      </c>
      <c r="X198">
        <v>-6.9648435354745436E-2</v>
      </c>
      <c r="Y198">
        <v>0.22041411463993629</v>
      </c>
      <c r="Z198">
        <v>0.1340406125364447</v>
      </c>
      <c r="AA198">
        <v>-9.2044282770584546E-2</v>
      </c>
      <c r="AB198">
        <v>-0.33216827222365569</v>
      </c>
      <c r="AC198">
        <v>-0.1222556624698023</v>
      </c>
      <c r="AD198">
        <v>-0.26504373038146878</v>
      </c>
      <c r="AE198">
        <v>0.32808830557151158</v>
      </c>
      <c r="AF198">
        <v>-0.29499449021070168</v>
      </c>
      <c r="AG198">
        <v>0.36891953998483967</v>
      </c>
      <c r="AH198">
        <v>0.37002809355426108</v>
      </c>
      <c r="AI198">
        <v>-0.13611177339256411</v>
      </c>
      <c r="AJ198">
        <v>-0.27466585014404837</v>
      </c>
      <c r="AK198">
        <v>0.34336119245376212</v>
      </c>
      <c r="AL198">
        <v>-0.23321885686812521</v>
      </c>
      <c r="AM198">
        <v>-0.25616274429887331</v>
      </c>
      <c r="AN198">
        <v>4.5031842444068597E-2</v>
      </c>
      <c r="AO198">
        <v>2.1410886017590169E-2</v>
      </c>
      <c r="AP198">
        <v>-0.10877373785003</v>
      </c>
      <c r="AQ198">
        <v>-0.2907596277992347</v>
      </c>
      <c r="AR198">
        <v>0.61982660063668571</v>
      </c>
      <c r="AS198">
        <v>-0.39487855269878203</v>
      </c>
      <c r="AT198">
        <v>-0.19967335949221141</v>
      </c>
      <c r="AU198">
        <v>0.20922844134943741</v>
      </c>
      <c r="AV198">
        <v>-9.1502462125411049E-2</v>
      </c>
      <c r="AW198">
        <v>0.30336564017483042</v>
      </c>
      <c r="AX198">
        <v>0.37799608001904222</v>
      </c>
    </row>
    <row r="199" spans="1:50" x14ac:dyDescent="0.25">
      <c r="A199">
        <v>-0.1211410834058754</v>
      </c>
      <c r="B199">
        <v>-0.31722541272295091</v>
      </c>
      <c r="C199">
        <v>0.19623777233291989</v>
      </c>
      <c r="D199">
        <v>4.5030692719935123E-2</v>
      </c>
      <c r="E199">
        <v>0.14541821581465489</v>
      </c>
      <c r="F199">
        <v>-8.5738538494494268E-2</v>
      </c>
      <c r="G199">
        <v>-0.1126472924391803</v>
      </c>
      <c r="H199">
        <v>0.34061459085555762</v>
      </c>
      <c r="I199">
        <v>0.19229741225661959</v>
      </c>
      <c r="J199">
        <v>-0.27939375597319721</v>
      </c>
      <c r="K199">
        <v>0.42624814805272132</v>
      </c>
      <c r="L199">
        <v>7.3493211330345504E-2</v>
      </c>
      <c r="M199">
        <v>0.66468816228045902</v>
      </c>
      <c r="N199">
        <v>0.41840493316708272</v>
      </c>
      <c r="O199">
        <v>-0.48771359966651201</v>
      </c>
      <c r="P199">
        <v>0.31567568969035031</v>
      </c>
      <c r="Q199">
        <v>-0.31208994310691801</v>
      </c>
      <c r="R199">
        <v>-0.20752171694523039</v>
      </c>
      <c r="S199">
        <v>-0.33587583416810701</v>
      </c>
      <c r="T199">
        <v>-0.25207415215581591</v>
      </c>
      <c r="U199">
        <v>-7.1811730450736647E-4</v>
      </c>
      <c r="V199">
        <v>0.37947871311470582</v>
      </c>
      <c r="W199">
        <v>-0.35043346587615398</v>
      </c>
      <c r="X199">
        <v>-0.67644748799883725</v>
      </c>
      <c r="Y199">
        <v>0.63249343433994865</v>
      </c>
      <c r="Z199">
        <v>0.362148216700106</v>
      </c>
      <c r="AA199">
        <v>0.19434543685336189</v>
      </c>
      <c r="AB199">
        <v>0.68179604867297838</v>
      </c>
      <c r="AC199">
        <v>0.37634238291920208</v>
      </c>
      <c r="AD199">
        <v>0.2592766106424706</v>
      </c>
      <c r="AE199">
        <v>0.4146112809968146</v>
      </c>
      <c r="AF199">
        <v>7.9562102866189172E-2</v>
      </c>
      <c r="AG199">
        <v>-0.26106352660473298</v>
      </c>
      <c r="AH199">
        <v>-0.2078939655148502</v>
      </c>
      <c r="AI199">
        <v>-0.2999703331171848</v>
      </c>
      <c r="AJ199">
        <v>-0.31008005142847689</v>
      </c>
      <c r="AK199">
        <v>-0.51310714052196182</v>
      </c>
      <c r="AL199">
        <v>3.4724205427520811E-2</v>
      </c>
      <c r="AM199">
        <v>0.1005881365993218</v>
      </c>
      <c r="AN199">
        <v>-3.2910946697803201E-2</v>
      </c>
      <c r="AO199">
        <v>0.41682864283672172</v>
      </c>
      <c r="AP199">
        <v>-0.39240296454805262</v>
      </c>
      <c r="AQ199">
        <v>0.14086829169259599</v>
      </c>
      <c r="AR199">
        <v>0.1230082112654836</v>
      </c>
      <c r="AS199">
        <v>0.26065863314211379</v>
      </c>
      <c r="AT199">
        <v>0.53218257549325898</v>
      </c>
      <c r="AU199">
        <v>-0.16762011440536601</v>
      </c>
      <c r="AV199">
        <v>0.2315446583483273</v>
      </c>
      <c r="AW199">
        <v>3.0400038923341512E-2</v>
      </c>
      <c r="AX199">
        <v>-0.41472913843352821</v>
      </c>
    </row>
    <row r="200" spans="1:50" x14ac:dyDescent="0.25">
      <c r="A200">
        <v>-1.0749283638245479E-2</v>
      </c>
      <c r="B200">
        <v>-6.7558991717683306E-3</v>
      </c>
      <c r="C200">
        <v>5.6601764780310301E-2</v>
      </c>
      <c r="D200">
        <v>-6.3539555861167121E-2</v>
      </c>
      <c r="E200">
        <v>0.1093472809552035</v>
      </c>
      <c r="F200">
        <v>-4.1549402342675033E-2</v>
      </c>
      <c r="G200">
        <v>7.7535443007029636E-2</v>
      </c>
      <c r="H200">
        <v>-1.2660666638832479E-2</v>
      </c>
      <c r="I200">
        <v>0.12693639277771249</v>
      </c>
      <c r="J200">
        <v>-5.1426153844535603E-2</v>
      </c>
      <c r="K200">
        <v>5.7708613581569798E-2</v>
      </c>
      <c r="L200">
        <v>-2.751289805494651E-2</v>
      </c>
      <c r="M200">
        <v>5.8454906336438808E-2</v>
      </c>
      <c r="N200">
        <v>8.5788224469550076E-2</v>
      </c>
      <c r="O200">
        <v>5.0431989901049572E-2</v>
      </c>
      <c r="P200">
        <v>-0.17254569751479651</v>
      </c>
      <c r="Q200">
        <v>0.1123978622084906</v>
      </c>
      <c r="R200">
        <v>4.997903845607575E-3</v>
      </c>
      <c r="S200">
        <v>2.3577501762321259E-2</v>
      </c>
      <c r="T200">
        <v>7.5719830682215413E-3</v>
      </c>
      <c r="U200">
        <v>-0.1266086282946686</v>
      </c>
      <c r="V200">
        <v>-2.7360838865309049E-2</v>
      </c>
      <c r="W200">
        <v>1.7073740824108952E-2</v>
      </c>
      <c r="X200">
        <v>-0.12985454799997759</v>
      </c>
      <c r="Y200">
        <v>-3.7967123762705439E-2</v>
      </c>
      <c r="Z200">
        <v>-0.1498388713324782</v>
      </c>
      <c r="AA200">
        <v>-6.2042995198689783E-2</v>
      </c>
      <c r="AB200">
        <v>-0.14038322580802359</v>
      </c>
      <c r="AC200">
        <v>-0.1122955037403589</v>
      </c>
      <c r="AD200">
        <v>-4.8660530092864092E-2</v>
      </c>
      <c r="AE200">
        <v>8.3888444761148928E-2</v>
      </c>
      <c r="AF200">
        <v>2.2384517234415369E-2</v>
      </c>
      <c r="AG200">
        <v>-0.14698487180822689</v>
      </c>
      <c r="AH200">
        <v>0.10878794293304719</v>
      </c>
      <c r="AI200">
        <v>-2.010259034021368E-2</v>
      </c>
      <c r="AJ200">
        <v>7.2930319631957674E-2</v>
      </c>
      <c r="AK200">
        <v>-7.9680813756635493E-2</v>
      </c>
      <c r="AL200">
        <v>-0.1110251710103336</v>
      </c>
      <c r="AM200">
        <v>5.6463335547085507E-3</v>
      </c>
      <c r="AN200">
        <v>-9.5188957905140339E-3</v>
      </c>
      <c r="AO200">
        <v>-0.14855585764537141</v>
      </c>
      <c r="AP200">
        <v>8.3609395110728679E-2</v>
      </c>
      <c r="AQ200">
        <v>-5.052821093002384E-2</v>
      </c>
      <c r="AR200">
        <v>7.8764728893195371E-2</v>
      </c>
      <c r="AS200">
        <v>-4.8424090265355151E-2</v>
      </c>
      <c r="AT200">
        <v>-0.104839799587625</v>
      </c>
      <c r="AU200">
        <v>3.051912425754074E-2</v>
      </c>
      <c r="AV200">
        <v>1.369771683260349E-2</v>
      </c>
      <c r="AW200">
        <v>8.5065912750208125E-2</v>
      </c>
      <c r="AX200">
        <v>-4.6216197136320823E-2</v>
      </c>
    </row>
    <row r="201" spans="1:50" x14ac:dyDescent="0.25">
      <c r="A201">
        <v>-0.37670292949119222</v>
      </c>
      <c r="B201">
        <v>-0.71315172961573647</v>
      </c>
      <c r="C201">
        <v>-0.3234138968519919</v>
      </c>
      <c r="D201">
        <v>-1.564061928530466E-2</v>
      </c>
      <c r="E201">
        <v>0.31394143491237209</v>
      </c>
      <c r="F201">
        <v>0.18223364789241439</v>
      </c>
      <c r="G201">
        <v>0.12553168962898201</v>
      </c>
      <c r="H201">
        <v>0.63187792611865146</v>
      </c>
      <c r="I201">
        <v>0.31234610375522071</v>
      </c>
      <c r="J201">
        <v>5.3859921265640882E-2</v>
      </c>
      <c r="K201">
        <v>-0.11693733544128219</v>
      </c>
      <c r="L201">
        <v>0.26720210126464128</v>
      </c>
      <c r="M201">
        <v>0.19408888711179359</v>
      </c>
      <c r="N201">
        <v>0.48896386011492982</v>
      </c>
      <c r="O201">
        <v>-0.44770330278520509</v>
      </c>
      <c r="P201">
        <v>-0.37013298483622742</v>
      </c>
      <c r="Q201">
        <v>-0.177845094185375</v>
      </c>
      <c r="R201">
        <v>8.7790332675612412E-2</v>
      </c>
      <c r="S201">
        <v>0.39989043678891628</v>
      </c>
      <c r="T201">
        <v>-0.47774445074342431</v>
      </c>
      <c r="U201">
        <v>1.8008759633255919E-2</v>
      </c>
      <c r="V201">
        <v>0.47822309662069612</v>
      </c>
      <c r="W201">
        <v>-0.26256975991602038</v>
      </c>
      <c r="X201">
        <v>-0.35679114503618797</v>
      </c>
      <c r="Y201">
        <v>0.80352771611243901</v>
      </c>
      <c r="Z201">
        <v>0.1065257243907185</v>
      </c>
      <c r="AA201">
        <v>0.1597684458150152</v>
      </c>
      <c r="AB201">
        <v>0.26172758307041732</v>
      </c>
      <c r="AC201">
        <v>0.22182950244788011</v>
      </c>
      <c r="AD201">
        <v>-0.32986508353204719</v>
      </c>
      <c r="AE201">
        <v>0.49612872738241659</v>
      </c>
      <c r="AF201">
        <v>-0.53336374614908943</v>
      </c>
      <c r="AG201">
        <v>0.43674497042776023</v>
      </c>
      <c r="AH201">
        <v>-4.9461441581952578E-2</v>
      </c>
      <c r="AI201">
        <v>0.28146655048374908</v>
      </c>
      <c r="AJ201">
        <v>-0.2201961815538406</v>
      </c>
      <c r="AK201">
        <v>5.4097953708497223E-2</v>
      </c>
      <c r="AL201">
        <v>1.9606555501714949E-2</v>
      </c>
      <c r="AM201">
        <v>0.30525794169930232</v>
      </c>
      <c r="AN201">
        <v>0.5564981174051109</v>
      </c>
      <c r="AO201">
        <v>0.24687087626722601</v>
      </c>
      <c r="AP201">
        <v>-0.62575640525213949</v>
      </c>
      <c r="AQ201">
        <v>-1.9260329852824429E-2</v>
      </c>
      <c r="AR201">
        <v>0.41824582726518661</v>
      </c>
      <c r="AS201">
        <v>0.26544899826496338</v>
      </c>
      <c r="AT201">
        <v>0.87203277540353363</v>
      </c>
      <c r="AU201">
        <v>-0.47411285234959821</v>
      </c>
      <c r="AV201">
        <v>-0.22630852050705369</v>
      </c>
      <c r="AW201">
        <v>0.16629072657603711</v>
      </c>
      <c r="AX201">
        <v>0.73939640914923255</v>
      </c>
    </row>
    <row r="202" spans="1:50" x14ac:dyDescent="0.25">
      <c r="A202">
        <v>-0.1006127866966825</v>
      </c>
      <c r="B202">
        <v>2.1676903524603181E-2</v>
      </c>
      <c r="C202">
        <v>-0.1247525036984259</v>
      </c>
      <c r="D202">
        <v>0.10501916744463639</v>
      </c>
      <c r="E202">
        <v>-1.4132625283987871E-2</v>
      </c>
      <c r="F202">
        <v>0.16554200582500761</v>
      </c>
      <c r="G202">
        <v>1.7311476586175871E-2</v>
      </c>
      <c r="H202">
        <v>-1.001787164500912E-2</v>
      </c>
      <c r="I202">
        <v>1.501965703995912E-2</v>
      </c>
      <c r="J202">
        <v>2.108482258736202E-2</v>
      </c>
      <c r="K202">
        <v>1.9851470444583609E-2</v>
      </c>
      <c r="L202">
        <v>8.9840660064236633E-2</v>
      </c>
      <c r="M202">
        <v>0.21524169855848321</v>
      </c>
      <c r="N202">
        <v>7.2988225787139066E-3</v>
      </c>
      <c r="O202">
        <v>3.2568781591272217E-2</v>
      </c>
      <c r="P202">
        <v>1.5581894806414811E-2</v>
      </c>
      <c r="Q202">
        <v>-1.6817786936890431E-2</v>
      </c>
      <c r="R202">
        <v>-3.2683280928739358E-2</v>
      </c>
      <c r="S202">
        <v>1.008512526869602E-3</v>
      </c>
      <c r="T202">
        <v>1.024097737019088E-2</v>
      </c>
      <c r="U202">
        <v>-4.6841077945569153E-2</v>
      </c>
      <c r="V202">
        <v>-2.117072057794786E-2</v>
      </c>
      <c r="W202">
        <v>1.572844429239656E-2</v>
      </c>
      <c r="X202">
        <v>-9.725540668783424E-3</v>
      </c>
      <c r="Y202">
        <v>-1.897986943851053E-2</v>
      </c>
      <c r="Z202">
        <v>-3.1443164782022472E-3</v>
      </c>
      <c r="AA202">
        <v>-3.8576306021010143E-2</v>
      </c>
      <c r="AB202">
        <v>-2.1072645179988279E-2</v>
      </c>
      <c r="AC202">
        <v>-4.6298608397992727E-2</v>
      </c>
      <c r="AD202">
        <v>0.15509190477207599</v>
      </c>
      <c r="AE202">
        <v>-2.9708221077965152E-2</v>
      </c>
      <c r="AF202">
        <v>2.0873943553929609E-3</v>
      </c>
      <c r="AG202">
        <v>-6.8637893840399977E-2</v>
      </c>
      <c r="AH202">
        <v>7.1363019525706131E-2</v>
      </c>
      <c r="AI202">
        <v>2.988278178261005E-2</v>
      </c>
      <c r="AJ202">
        <v>-9.1161795104517662E-2</v>
      </c>
      <c r="AK202">
        <v>-2.634510038359357E-2</v>
      </c>
      <c r="AL202">
        <v>3.2748776729443342E-3</v>
      </c>
      <c r="AM202">
        <v>-2.489434376244146E-2</v>
      </c>
      <c r="AN202">
        <v>-7.7817544952668322E-2</v>
      </c>
      <c r="AO202">
        <v>-1.522147023780272E-3</v>
      </c>
      <c r="AP202">
        <v>0.26507484072255733</v>
      </c>
      <c r="AQ202">
        <v>-4.1628458399474023E-2</v>
      </c>
      <c r="AR202">
        <v>3.8215062603126237E-2</v>
      </c>
      <c r="AS202">
        <v>0.13515369283783091</v>
      </c>
      <c r="AT202">
        <v>7.4330690305587878E-3</v>
      </c>
      <c r="AU202">
        <v>-0.1016850551055045</v>
      </c>
      <c r="AV202">
        <v>-8.0218446942046287E-2</v>
      </c>
      <c r="AW202">
        <v>0.1093082412363742</v>
      </c>
      <c r="AX202">
        <v>1.7142997302930209E-2</v>
      </c>
    </row>
    <row r="203" spans="1:50" x14ac:dyDescent="0.25">
      <c r="A203">
        <v>5.6315731116816987E-2</v>
      </c>
      <c r="B203">
        <v>3.0419350710433921E-2</v>
      </c>
      <c r="C203">
        <v>0.27950440245038999</v>
      </c>
      <c r="D203">
        <v>7.0726964668755499E-2</v>
      </c>
      <c r="E203">
        <v>-0.1394552871440051</v>
      </c>
      <c r="F203">
        <v>8.0481606691223104E-2</v>
      </c>
      <c r="G203">
        <v>-0.20556495609180689</v>
      </c>
      <c r="H203">
        <v>-0.20892040272282489</v>
      </c>
      <c r="I203">
        <v>-0.1521042565738861</v>
      </c>
      <c r="J203">
        <v>5.1601167684296748E-2</v>
      </c>
      <c r="K203">
        <v>-9.5082752528326653E-2</v>
      </c>
      <c r="L203">
        <v>8.1207361153756222E-2</v>
      </c>
      <c r="M203">
        <v>-0.21081557190302111</v>
      </c>
      <c r="N203">
        <v>9.9426715067061397E-2</v>
      </c>
      <c r="O203">
        <v>8.2904658360181571E-2</v>
      </c>
      <c r="P203">
        <v>2.7880674673800759E-2</v>
      </c>
      <c r="Q203">
        <v>0.12616215309845849</v>
      </c>
      <c r="R203">
        <v>-3.1942767247612011E-2</v>
      </c>
      <c r="S203">
        <v>-0.12156366927255211</v>
      </c>
      <c r="T203">
        <v>0.11372118111814419</v>
      </c>
      <c r="U203">
        <v>-0.105972383351636</v>
      </c>
      <c r="V203">
        <v>-8.5853089279563144E-2</v>
      </c>
      <c r="W203">
        <v>-7.7051976248012841E-2</v>
      </c>
      <c r="X203">
        <v>-0.1952573218886135</v>
      </c>
      <c r="Y203">
        <v>-3.8805112738669698E-2</v>
      </c>
      <c r="Z203">
        <v>-5.4887105578867272E-2</v>
      </c>
      <c r="AA203">
        <v>-8.0309624177039976E-2</v>
      </c>
      <c r="AB203">
        <v>1.562169434384912E-2</v>
      </c>
      <c r="AC203">
        <v>-0.1132816769139481</v>
      </c>
      <c r="AD203">
        <v>-8.4317815022654632E-2</v>
      </c>
      <c r="AE203">
        <v>0.15872864674944309</v>
      </c>
      <c r="AF203">
        <v>-0.1200944975882518</v>
      </c>
      <c r="AG203">
        <v>-7.7440597245730713E-2</v>
      </c>
      <c r="AH203">
        <v>-0.21955083882939991</v>
      </c>
      <c r="AI203">
        <v>0.13866093644376559</v>
      </c>
      <c r="AJ203">
        <v>-9.256535751749688E-2</v>
      </c>
      <c r="AK203">
        <v>-0.20141487929881691</v>
      </c>
      <c r="AL203">
        <v>-0.1042473125008485</v>
      </c>
      <c r="AM203">
        <v>-3.357470325968475E-2</v>
      </c>
      <c r="AN203">
        <v>6.4090719149869607E-2</v>
      </c>
      <c r="AO203">
        <v>-0.35669824125046701</v>
      </c>
      <c r="AP203">
        <v>-9.4788389103445364E-2</v>
      </c>
      <c r="AQ203">
        <v>0.22130450769069959</v>
      </c>
      <c r="AR203">
        <v>6.8997088785049454E-2</v>
      </c>
      <c r="AS203">
        <v>4.0639843903293733E-2</v>
      </c>
      <c r="AT203">
        <v>-0.14189589881579601</v>
      </c>
      <c r="AU203">
        <v>-9.1355902822794266E-2</v>
      </c>
      <c r="AV203">
        <v>0.28053050610551372</v>
      </c>
      <c r="AW203">
        <v>5.6473471213691763E-2</v>
      </c>
      <c r="AX203">
        <v>0.25153953959980963</v>
      </c>
    </row>
    <row r="204" spans="1:50" x14ac:dyDescent="0.25">
      <c r="A204">
        <v>7.463514789701986E-2</v>
      </c>
      <c r="B204">
        <v>-2.9058843490919709E-2</v>
      </c>
      <c r="C204">
        <v>-0.12061726629427801</v>
      </c>
      <c r="D204">
        <v>9.5647128707676179E-2</v>
      </c>
      <c r="E204">
        <v>-0.21703383449667929</v>
      </c>
      <c r="F204">
        <v>0.1519214426019721</v>
      </c>
      <c r="G204">
        <v>-0.13205237234514139</v>
      </c>
      <c r="H204">
        <v>-3.3227934001070693E-2</v>
      </c>
      <c r="I204">
        <v>3.6056426794407051E-3</v>
      </c>
      <c r="J204">
        <v>0.39264865853027248</v>
      </c>
      <c r="K204">
        <v>-0.14537477264352119</v>
      </c>
      <c r="L204">
        <v>-0.18664926964228509</v>
      </c>
      <c r="M204">
        <v>-0.11205981835416071</v>
      </c>
      <c r="N204">
        <v>-0.19694464912800949</v>
      </c>
      <c r="O204">
        <v>1.521798088834294E-2</v>
      </c>
      <c r="P204">
        <v>-5.2059286217768452E-2</v>
      </c>
      <c r="Q204">
        <v>-0.11118647887098949</v>
      </c>
      <c r="R204">
        <v>7.9288304821906935E-2</v>
      </c>
      <c r="S204">
        <v>0.26710487039855202</v>
      </c>
      <c r="T204">
        <v>-8.4549571751394437E-2</v>
      </c>
      <c r="U204">
        <v>9.1311412955743937E-3</v>
      </c>
      <c r="V204">
        <v>-7.5929548779339346E-3</v>
      </c>
      <c r="W204">
        <v>-0.21293138729081129</v>
      </c>
      <c r="X204">
        <v>-0.14127677143229561</v>
      </c>
      <c r="Y204">
        <v>0.28352299703020928</v>
      </c>
      <c r="Z204">
        <v>-1.2220000611870899E-2</v>
      </c>
      <c r="AA204">
        <v>-0.18512280366872871</v>
      </c>
      <c r="AB204">
        <v>9.3396887685502403E-2</v>
      </c>
      <c r="AC204">
        <v>5.652350335067826E-2</v>
      </c>
      <c r="AD204">
        <v>0.45997002168280798</v>
      </c>
      <c r="AE204">
        <v>-0.19973910430094549</v>
      </c>
      <c r="AF204">
        <v>-0.17248194292174709</v>
      </c>
      <c r="AG204">
        <v>0.15146342909840849</v>
      </c>
      <c r="AH204">
        <v>-3.1156243040271259E-2</v>
      </c>
      <c r="AI204">
        <v>-0.19857680522099561</v>
      </c>
      <c r="AJ204">
        <v>6.5307495136502622E-2</v>
      </c>
      <c r="AK204">
        <v>5.6818151777156253E-2</v>
      </c>
      <c r="AL204">
        <v>0.48231265889676839</v>
      </c>
      <c r="AM204">
        <v>3.1775654157205173E-2</v>
      </c>
      <c r="AN204">
        <v>9.615613848003407E-2</v>
      </c>
      <c r="AO204">
        <v>-0.19807697326555099</v>
      </c>
      <c r="AP204">
        <v>-0.16609947948613521</v>
      </c>
      <c r="AQ204">
        <v>-0.21535860741723531</v>
      </c>
      <c r="AR204">
        <v>7.2774410249390486E-4</v>
      </c>
      <c r="AS204">
        <v>-0.43826157040424601</v>
      </c>
      <c r="AT204">
        <v>-8.2384312976742785E-3</v>
      </c>
      <c r="AU204">
        <v>0.26441869448223509</v>
      </c>
      <c r="AV204">
        <v>-7.6645767775859783E-2</v>
      </c>
      <c r="AW204">
        <v>-0.16320071648195339</v>
      </c>
      <c r="AX204">
        <v>-0.25649348504863662</v>
      </c>
    </row>
    <row r="205" spans="1:50" x14ac:dyDescent="0.25">
      <c r="A205">
        <v>-3.2779110621561879E-2</v>
      </c>
      <c r="B205">
        <v>-0.1247761218454104</v>
      </c>
      <c r="C205">
        <v>7.467980966443491E-2</v>
      </c>
      <c r="D205">
        <v>-6.6784434450943855E-2</v>
      </c>
      <c r="E205">
        <v>0.1198910955939919</v>
      </c>
      <c r="F205">
        <v>0.1126757485982085</v>
      </c>
      <c r="G205">
        <v>-6.9847528868750675E-2</v>
      </c>
      <c r="H205">
        <v>0.12901582589388941</v>
      </c>
      <c r="I205">
        <v>-3.459208391576038E-2</v>
      </c>
      <c r="J205">
        <v>1.9739036562707668E-3</v>
      </c>
      <c r="K205">
        <v>9.2554578038623658E-2</v>
      </c>
      <c r="L205">
        <v>-5.4418687435267753E-2</v>
      </c>
      <c r="M205">
        <v>-7.2204442953534065E-2</v>
      </c>
      <c r="N205">
        <v>-7.3048231211634645E-2</v>
      </c>
      <c r="O205">
        <v>0.1013808932469363</v>
      </c>
      <c r="P205">
        <v>-2.001096680192908E-2</v>
      </c>
      <c r="Q205">
        <v>-4.203080474072788E-2</v>
      </c>
      <c r="R205">
        <v>-4.9668036457736341E-2</v>
      </c>
      <c r="S205">
        <v>-3.329395041790241E-2</v>
      </c>
      <c r="T205">
        <v>-7.7894348564736694E-3</v>
      </c>
      <c r="U205">
        <v>5.9967258812176551E-2</v>
      </c>
      <c r="V205">
        <v>-0.1117883975839449</v>
      </c>
      <c r="W205">
        <v>-0.10727895440234859</v>
      </c>
      <c r="X205">
        <v>-2.5767348751558991E-2</v>
      </c>
      <c r="Y205">
        <v>-4.1279455099353261E-2</v>
      </c>
      <c r="Z205">
        <v>-4.5969812303945451E-2</v>
      </c>
      <c r="AA205">
        <v>8.7184035294421744E-2</v>
      </c>
      <c r="AB205">
        <v>-3.8133340263702693E-2</v>
      </c>
      <c r="AC205">
        <v>-4.5281213162115252E-2</v>
      </c>
      <c r="AD205">
        <v>-0.113217811432058</v>
      </c>
      <c r="AE205">
        <v>-0.1136943278025315</v>
      </c>
      <c r="AF205">
        <v>-5.4049661678200973E-2</v>
      </c>
      <c r="AG205">
        <v>-0.14968893966568919</v>
      </c>
      <c r="AH205">
        <v>0.1324884050066521</v>
      </c>
      <c r="AI205">
        <v>-0.1624401573370948</v>
      </c>
      <c r="AJ205">
        <v>7.0064545362253816E-2</v>
      </c>
      <c r="AK205">
        <v>-3.1529174621738189E-2</v>
      </c>
      <c r="AL205">
        <v>0.18341454235584781</v>
      </c>
      <c r="AM205">
        <v>-8.8459408512362898E-3</v>
      </c>
      <c r="AN205">
        <v>-0.15049313104006071</v>
      </c>
      <c r="AO205">
        <v>8.3764610490191099E-2</v>
      </c>
      <c r="AP205">
        <v>-4.1455721934163921E-2</v>
      </c>
      <c r="AQ205">
        <v>-9.3838594944792977E-2</v>
      </c>
      <c r="AR205">
        <v>-0.1472937570673441</v>
      </c>
      <c r="AS205">
        <v>-4.7325453726588487E-2</v>
      </c>
      <c r="AT205">
        <v>-9.9859061793705108E-3</v>
      </c>
      <c r="AU205">
        <v>6.9711888480300608E-4</v>
      </c>
      <c r="AV205">
        <v>-2.5142886958458132E-3</v>
      </c>
      <c r="AW205">
        <v>1.1885738900904431E-2</v>
      </c>
      <c r="AX205">
        <v>0.10448137247243559</v>
      </c>
    </row>
    <row r="206" spans="1:50" x14ac:dyDescent="0.25">
      <c r="A206">
        <v>-3.4507105141206001E-2</v>
      </c>
      <c r="B206">
        <v>-0.11513975665036</v>
      </c>
      <c r="C206">
        <v>-8.2883988653078819E-2</v>
      </c>
      <c r="D206">
        <v>-7.7700770228228633E-2</v>
      </c>
      <c r="E206">
        <v>-4.6526404400061658E-2</v>
      </c>
      <c r="F206">
        <v>0.173023894106764</v>
      </c>
      <c r="G206">
        <v>-2.624785452389132E-2</v>
      </c>
      <c r="H206">
        <v>5.9454070585672147E-2</v>
      </c>
      <c r="I206">
        <v>-6.0071364807751312E-2</v>
      </c>
      <c r="J206">
        <v>-1.8186549695011218E-2</v>
      </c>
      <c r="K206">
        <v>9.776866536833613E-2</v>
      </c>
      <c r="L206">
        <v>2.8020547283878091E-2</v>
      </c>
      <c r="M206">
        <v>0.1972828342899971</v>
      </c>
      <c r="N206">
        <v>9.9812983046225073E-2</v>
      </c>
      <c r="O206">
        <v>0.15724363460420471</v>
      </c>
      <c r="P206">
        <v>0.1094988764164465</v>
      </c>
      <c r="Q206">
        <v>0.1015433895500691</v>
      </c>
      <c r="R206">
        <v>-3.6938919533132622E-2</v>
      </c>
      <c r="S206">
        <v>-5.3324830370635658E-2</v>
      </c>
      <c r="T206">
        <v>9.9387099343471008E-2</v>
      </c>
      <c r="U206">
        <v>-9.263333035363612E-2</v>
      </c>
      <c r="V206">
        <v>3.4521434082425501E-2</v>
      </c>
      <c r="W206">
        <v>0.15374810131550709</v>
      </c>
      <c r="X206">
        <v>6.6371237983411518E-3</v>
      </c>
      <c r="Y206">
        <v>8.8286464426687014E-2</v>
      </c>
      <c r="Z206">
        <v>-0.15248672984557751</v>
      </c>
      <c r="AA206">
        <v>1.6065382507441151E-2</v>
      </c>
      <c r="AB206">
        <v>-0.1166520688581807</v>
      </c>
      <c r="AC206">
        <v>0.17679310289990621</v>
      </c>
      <c r="AD206">
        <v>-2.905396312642575E-2</v>
      </c>
      <c r="AE206">
        <v>3.1336232010370467E-2</v>
      </c>
      <c r="AF206">
        <v>-8.4759759484991717E-2</v>
      </c>
      <c r="AG206">
        <v>0.1398186853378309</v>
      </c>
      <c r="AH206">
        <v>8.6795867967789569E-2</v>
      </c>
      <c r="AI206">
        <v>8.3893865613225788E-2</v>
      </c>
      <c r="AJ206">
        <v>8.7856327460500525E-2</v>
      </c>
      <c r="AK206">
        <v>-2.957614583578981E-2</v>
      </c>
      <c r="AL206">
        <v>0.1895186907258278</v>
      </c>
      <c r="AM206">
        <v>-0.12861394275525051</v>
      </c>
      <c r="AN206">
        <v>0.1118065745494191</v>
      </c>
      <c r="AO206">
        <v>7.2152600889533458E-2</v>
      </c>
      <c r="AP206">
        <v>-1.6576117425970861E-2</v>
      </c>
      <c r="AQ206">
        <v>-8.2656243749095554E-2</v>
      </c>
      <c r="AR206">
        <v>-7.5766757542481758E-2</v>
      </c>
      <c r="AS206">
        <v>-2.62974582031558E-2</v>
      </c>
      <c r="AT206">
        <v>5.6291083670864127E-2</v>
      </c>
      <c r="AU206">
        <v>-9.7697567031111016E-2</v>
      </c>
      <c r="AV206">
        <v>1.393972439047199E-2</v>
      </c>
      <c r="AW206">
        <v>0.13377368152251681</v>
      </c>
      <c r="AX206">
        <v>0.18064610981790349</v>
      </c>
    </row>
    <row r="207" spans="1:50" x14ac:dyDescent="0.25">
      <c r="A207">
        <v>5.8477764523208464E-4</v>
      </c>
      <c r="B207">
        <v>2.689268319028755E-2</v>
      </c>
      <c r="C207">
        <v>-4.4453554185010097E-3</v>
      </c>
      <c r="D207">
        <v>5.1810890075053712E-2</v>
      </c>
      <c r="E207">
        <v>-2.769787243875035E-2</v>
      </c>
      <c r="F207">
        <v>-4.444845249751762E-3</v>
      </c>
      <c r="G207">
        <v>1.36408515847626E-2</v>
      </c>
      <c r="H207">
        <v>-1.974170161655682E-2</v>
      </c>
      <c r="I207">
        <v>5.5223953182826774E-3</v>
      </c>
      <c r="J207">
        <v>-3.3590451474844123E-2</v>
      </c>
      <c r="K207">
        <v>1.603699817801732E-2</v>
      </c>
      <c r="L207">
        <v>-1.5421733582523141E-2</v>
      </c>
      <c r="M207">
        <v>1.2643597189675461E-2</v>
      </c>
      <c r="N207">
        <v>1.509871238877785E-2</v>
      </c>
      <c r="O207">
        <v>3.4231940898142202E-2</v>
      </c>
      <c r="P207">
        <v>1.1241640674252E-2</v>
      </c>
      <c r="Q207">
        <v>3.2790370009871533E-2</v>
      </c>
      <c r="R207">
        <v>3.2056162929896263E-2</v>
      </c>
      <c r="S207">
        <v>1.219956551111938E-2</v>
      </c>
      <c r="T207">
        <v>9.3041413492624386E-3</v>
      </c>
      <c r="U207">
        <v>1.9280148439190799E-2</v>
      </c>
      <c r="V207">
        <v>1.546759635905706E-2</v>
      </c>
      <c r="W207">
        <v>-2.4708744105172209E-2</v>
      </c>
      <c r="X207">
        <v>7.568764159322566E-3</v>
      </c>
      <c r="Y207">
        <v>4.3763377943521517E-2</v>
      </c>
      <c r="Z207">
        <v>5.9427867543191952E-2</v>
      </c>
      <c r="AA207">
        <v>1.15026048813941E-2</v>
      </c>
      <c r="AB207">
        <v>8.3390554598317401E-3</v>
      </c>
      <c r="AC207">
        <v>5.6069372342559811E-3</v>
      </c>
      <c r="AD207">
        <v>-2.3937647832369121E-2</v>
      </c>
      <c r="AE207">
        <v>1.961852907051969E-2</v>
      </c>
      <c r="AF207">
        <v>2.0606875290482489E-2</v>
      </c>
      <c r="AG207">
        <v>1.54161447693198E-2</v>
      </c>
      <c r="AH207">
        <v>-2.0426729367050651E-2</v>
      </c>
      <c r="AI207">
        <v>5.6389079628745183E-2</v>
      </c>
      <c r="AJ207">
        <v>2.8845127878469611E-2</v>
      </c>
      <c r="AK207">
        <v>-1.11931097210166E-2</v>
      </c>
      <c r="AL207">
        <v>3.0171934254895189E-2</v>
      </c>
      <c r="AM207">
        <v>8.8691405649733036E-3</v>
      </c>
      <c r="AN207">
        <v>8.0803532133637262E-3</v>
      </c>
      <c r="AO207">
        <v>1.0674181376756429E-2</v>
      </c>
      <c r="AP207">
        <v>-1.278970102620567E-2</v>
      </c>
      <c r="AQ207">
        <v>-1.078160114256785E-2</v>
      </c>
      <c r="AR207">
        <v>5.8144286164725258E-2</v>
      </c>
      <c r="AS207">
        <v>4.228276751063445E-2</v>
      </c>
      <c r="AT207">
        <v>1.01889583719361E-2</v>
      </c>
      <c r="AU207">
        <v>2.5709991752695231E-2</v>
      </c>
      <c r="AV207">
        <v>2.3129973689428741E-2</v>
      </c>
      <c r="AW207">
        <v>1.833008789298932E-2</v>
      </c>
      <c r="AX207">
        <v>1.7260559865138778E-2</v>
      </c>
    </row>
    <row r="208" spans="1:50" x14ac:dyDescent="0.25">
      <c r="A208">
        <v>-0.1044167381091802</v>
      </c>
      <c r="B208">
        <v>-1.6870129972778529E-2</v>
      </c>
      <c r="C208">
        <v>-0.13595034999892089</v>
      </c>
      <c r="D208">
        <v>5.3285400234391767E-5</v>
      </c>
      <c r="E208">
        <v>0.11187329513552551</v>
      </c>
      <c r="F208">
        <v>0.1157817472069356</v>
      </c>
      <c r="G208">
        <v>4.7134111330604828E-2</v>
      </c>
      <c r="H208">
        <v>0.15960205372522551</v>
      </c>
      <c r="I208">
        <v>-7.8760405210723458E-2</v>
      </c>
      <c r="J208">
        <v>0.12594927307317799</v>
      </c>
      <c r="K208">
        <v>7.0044087995373275E-2</v>
      </c>
      <c r="L208">
        <v>4.4709662358406267E-2</v>
      </c>
      <c r="M208">
        <v>0.2020570097025283</v>
      </c>
      <c r="N208">
        <v>3.4702885528940519E-2</v>
      </c>
      <c r="O208">
        <v>1.597945558946709E-2</v>
      </c>
      <c r="P208">
        <v>0.1131768472405858</v>
      </c>
      <c r="Q208">
        <v>-5.5129958185805267E-2</v>
      </c>
      <c r="R208">
        <v>0.16556050463105829</v>
      </c>
      <c r="S208">
        <v>3.3597964847042222E-2</v>
      </c>
      <c r="T208">
        <v>2.7754528730656911E-2</v>
      </c>
      <c r="U208">
        <v>-4.8754487345261622E-3</v>
      </c>
      <c r="V208">
        <v>3.0445857300366828E-2</v>
      </c>
      <c r="W208">
        <v>-3.3585615690327371E-2</v>
      </c>
      <c r="X208">
        <v>6.5455040346951137E-3</v>
      </c>
      <c r="Y208">
        <v>7.8484566975347003E-2</v>
      </c>
      <c r="Z208">
        <v>7.1244805426604274E-2</v>
      </c>
      <c r="AA208">
        <v>-1.8963771335460851E-2</v>
      </c>
      <c r="AB208">
        <v>-0.1144015900673508</v>
      </c>
      <c r="AC208">
        <v>-0.1571645756338754</v>
      </c>
      <c r="AD208">
        <v>3.1126540986674941E-2</v>
      </c>
      <c r="AE208">
        <v>-0.10062101905479399</v>
      </c>
      <c r="AF208">
        <v>0.18470989408895941</v>
      </c>
      <c r="AG208">
        <v>-6.0759085106158149E-2</v>
      </c>
      <c r="AH208">
        <v>-0.14876927487831881</v>
      </c>
      <c r="AI208">
        <v>-2.6447888860349999E-2</v>
      </c>
      <c r="AJ208">
        <v>-0.19308585389522881</v>
      </c>
      <c r="AK208">
        <v>-9.9841468067480815E-2</v>
      </c>
      <c r="AL208">
        <v>7.0290815530867481E-2</v>
      </c>
      <c r="AM208">
        <v>-0.1501376833854241</v>
      </c>
      <c r="AN208">
        <v>0.22496866330295021</v>
      </c>
      <c r="AO208">
        <v>4.1601980322190833E-2</v>
      </c>
      <c r="AP208">
        <v>6.3227029316754182E-2</v>
      </c>
      <c r="AQ208">
        <v>-0.10633760364115501</v>
      </c>
      <c r="AR208">
        <v>0.19426083702140889</v>
      </c>
      <c r="AS208">
        <v>-4.4821084878765557E-2</v>
      </c>
      <c r="AT208">
        <v>-8.4306962940683419E-2</v>
      </c>
      <c r="AU208">
        <v>-3.092458857553625E-2</v>
      </c>
      <c r="AV208">
        <v>-2.71226242633653E-2</v>
      </c>
      <c r="AW208">
        <v>-4.7152117909685397E-2</v>
      </c>
      <c r="AX208">
        <v>0.12411376277107</v>
      </c>
    </row>
    <row r="209" spans="1:50" x14ac:dyDescent="0.25">
      <c r="A209">
        <v>-9.9033240101290651E-2</v>
      </c>
      <c r="B209">
        <v>-0.1138629944023871</v>
      </c>
      <c r="C209">
        <v>-0.1943718715331326</v>
      </c>
      <c r="D209">
        <v>3.4452613977555113E-2</v>
      </c>
      <c r="E209">
        <v>-0.1715354234707876</v>
      </c>
      <c r="F209">
        <v>-5.2821105862531137E-2</v>
      </c>
      <c r="G209">
        <v>-0.1192402931139712</v>
      </c>
      <c r="H209">
        <v>-5.1244104817148757E-2</v>
      </c>
      <c r="I209">
        <v>-0.1513990840203798</v>
      </c>
      <c r="J209">
        <v>9.0555877962332984E-3</v>
      </c>
      <c r="K209">
        <v>6.8956333975976489E-2</v>
      </c>
      <c r="L209">
        <v>-0.2284130407423805</v>
      </c>
      <c r="M209">
        <v>-4.3938313765673788E-2</v>
      </c>
      <c r="N209">
        <v>5.1426326016121701E-3</v>
      </c>
      <c r="O209">
        <v>-3.2535351927852271E-2</v>
      </c>
      <c r="P209">
        <v>6.3287923694206688E-2</v>
      </c>
      <c r="Q209">
        <v>-0.18784212079033349</v>
      </c>
      <c r="R209">
        <v>9.4153894574456026E-2</v>
      </c>
      <c r="S209">
        <v>0.25530134871183569</v>
      </c>
      <c r="T209">
        <v>-0.1080313915183701</v>
      </c>
      <c r="U209">
        <v>9.493446664091483E-2</v>
      </c>
      <c r="V209">
        <v>-5.6408575517785518E-2</v>
      </c>
      <c r="W209">
        <v>-8.7074967030293215E-2</v>
      </c>
      <c r="X209">
        <v>0.17024046045254099</v>
      </c>
      <c r="Y209">
        <v>0.13001200191398971</v>
      </c>
      <c r="Z209">
        <v>0.15239322552159351</v>
      </c>
      <c r="AA209">
        <v>-0.1680601019817885</v>
      </c>
      <c r="AB209">
        <v>0.11898281910651951</v>
      </c>
      <c r="AC209">
        <v>0.139905716853364</v>
      </c>
      <c r="AD209">
        <v>6.9847816868868789E-2</v>
      </c>
      <c r="AE209">
        <v>-2.0485312625201819E-2</v>
      </c>
      <c r="AF209">
        <v>-2.98016210172127E-2</v>
      </c>
      <c r="AG209">
        <v>-9.3215228434934475E-2</v>
      </c>
      <c r="AH209">
        <v>0.2023140560632806</v>
      </c>
      <c r="AI209">
        <v>-6.1374934206784457E-2</v>
      </c>
      <c r="AJ209">
        <v>-0.10391392126463091</v>
      </c>
      <c r="AK209">
        <v>-0.1500989009869963</v>
      </c>
      <c r="AL209">
        <v>1.3928381720691401E-2</v>
      </c>
      <c r="AM209">
        <v>-7.9922154566280462E-2</v>
      </c>
      <c r="AN209">
        <v>0.22514924799664329</v>
      </c>
      <c r="AO209">
        <v>-5.6017043580521043E-2</v>
      </c>
      <c r="AP209">
        <v>-0.1523534316909729</v>
      </c>
      <c r="AQ209">
        <v>5.8856058634829712E-2</v>
      </c>
      <c r="AR209">
        <v>0.19216064118471171</v>
      </c>
      <c r="AS209">
        <v>-7.9836180627027728E-2</v>
      </c>
      <c r="AT209">
        <v>0.20483062212365061</v>
      </c>
      <c r="AU209">
        <v>-0.13123495278339861</v>
      </c>
      <c r="AV209">
        <v>7.9128122675639317E-2</v>
      </c>
      <c r="AW209">
        <v>0.16007253795555379</v>
      </c>
      <c r="AX209">
        <v>-7.1471876646115456E-2</v>
      </c>
    </row>
    <row r="210" spans="1:50" x14ac:dyDescent="0.25">
      <c r="A210">
        <v>6.3138616376630253E-3</v>
      </c>
      <c r="B210">
        <v>0.1025340701622308</v>
      </c>
      <c r="C210">
        <v>-7.0753446637482661E-2</v>
      </c>
      <c r="D210">
        <v>-1.9791799360391361E-2</v>
      </c>
      <c r="E210">
        <v>-1.0452526058368061E-2</v>
      </c>
      <c r="F210">
        <v>2.434026176087167E-2</v>
      </c>
      <c r="G210">
        <v>1.0591132940156751E-2</v>
      </c>
      <c r="H210">
        <v>-1.0273448936191729E-2</v>
      </c>
      <c r="I210">
        <v>1.081220899878311E-2</v>
      </c>
      <c r="J210">
        <v>5.4126705890448927E-2</v>
      </c>
      <c r="K210">
        <v>8.745712687155334E-2</v>
      </c>
      <c r="L210">
        <v>-3.5283924352614182E-2</v>
      </c>
      <c r="M210">
        <v>3.5848686767600099E-2</v>
      </c>
      <c r="N210">
        <v>1.8939041754767381E-2</v>
      </c>
      <c r="O210">
        <v>5.1602615443720141E-2</v>
      </c>
      <c r="P210">
        <v>2.2013676553424451E-2</v>
      </c>
      <c r="Q210">
        <v>9.0618894191375546E-2</v>
      </c>
      <c r="R210">
        <v>4.8548071673317192E-2</v>
      </c>
      <c r="S210">
        <v>5.415477019563792E-2</v>
      </c>
      <c r="T210">
        <v>-5.82673637903378E-3</v>
      </c>
      <c r="U210">
        <v>7.7837897022291033E-2</v>
      </c>
      <c r="V210">
        <v>2.1216600852301429E-2</v>
      </c>
      <c r="W210">
        <v>2.4321907521559299E-2</v>
      </c>
      <c r="X210">
        <v>1.8874698934461991E-3</v>
      </c>
      <c r="Y210">
        <v>3.4939792438108901E-2</v>
      </c>
      <c r="Z210">
        <v>0.1186617424744191</v>
      </c>
      <c r="AA210">
        <v>5.3706100611069937E-2</v>
      </c>
      <c r="AB210">
        <v>1.8645590013793852E-2</v>
      </c>
      <c r="AC210">
        <v>6.7851813977596077E-3</v>
      </c>
      <c r="AD210">
        <v>-7.0273719975807326E-3</v>
      </c>
      <c r="AE210">
        <v>7.0353958119898738E-2</v>
      </c>
      <c r="AF210">
        <v>-4.3409718549751702E-2</v>
      </c>
      <c r="AG210">
        <v>2.9261523566788759E-2</v>
      </c>
      <c r="AH210">
        <v>-1.8622141688020798E-2</v>
      </c>
      <c r="AI210">
        <v>2.8966651403369879E-2</v>
      </c>
      <c r="AJ210">
        <v>0.11003524451558409</v>
      </c>
      <c r="AK210">
        <v>-9.5106050849813554E-3</v>
      </c>
      <c r="AL210">
        <v>2.719371035274714E-2</v>
      </c>
      <c r="AM210">
        <v>4.1124764119675347E-2</v>
      </c>
      <c r="AN210">
        <v>1.5130017662568751E-2</v>
      </c>
      <c r="AO210">
        <v>2.1421431875125619E-2</v>
      </c>
      <c r="AP210">
        <v>3.249759765089838E-2</v>
      </c>
      <c r="AQ210">
        <v>-2.0778612657173762E-2</v>
      </c>
      <c r="AR210">
        <v>3.7057691088775123E-2</v>
      </c>
      <c r="AS210">
        <v>2.3971645529897691E-2</v>
      </c>
      <c r="AT210">
        <v>9.4564281128531446E-3</v>
      </c>
      <c r="AU210">
        <v>2.945954333312956E-2</v>
      </c>
      <c r="AV210">
        <v>9.3704621363282878E-2</v>
      </c>
      <c r="AW210">
        <v>4.2308599103397737E-2</v>
      </c>
      <c r="AX210">
        <v>1.7953947614701909E-2</v>
      </c>
    </row>
    <row r="211" spans="1:50" x14ac:dyDescent="0.25">
      <c r="A211">
        <v>-0.2023277557278407</v>
      </c>
      <c r="B211">
        <v>-4.7360403858977669E-2</v>
      </c>
      <c r="C211">
        <v>7.8443252061655713E-2</v>
      </c>
      <c r="D211">
        <v>-2.074823571341098E-2</v>
      </c>
      <c r="E211">
        <v>-0.33928865576156969</v>
      </c>
      <c r="F211">
        <v>-7.9630849968160569E-2</v>
      </c>
      <c r="G211">
        <v>-0.48505099119036171</v>
      </c>
      <c r="H211">
        <v>0.69932861449015093</v>
      </c>
      <c r="I211">
        <v>-0.67219819249101864</v>
      </c>
      <c r="J211">
        <v>0.13590362628847499</v>
      </c>
      <c r="K211">
        <v>0.13626373690919161</v>
      </c>
      <c r="L211">
        <v>0.27360761299171399</v>
      </c>
      <c r="M211">
        <v>-0.1253423707930654</v>
      </c>
      <c r="N211">
        <v>0.55141425414129752</v>
      </c>
      <c r="O211">
        <v>0.40550264158034338</v>
      </c>
      <c r="P211">
        <v>-0.2299974195715109</v>
      </c>
      <c r="Q211">
        <v>0.1954498006125317</v>
      </c>
      <c r="R211">
        <v>-0.16268504804917219</v>
      </c>
      <c r="S211">
        <v>-0.26577761182280452</v>
      </c>
      <c r="T211">
        <v>0.1862276584156608</v>
      </c>
      <c r="U211">
        <v>0.29158624171447139</v>
      </c>
      <c r="V211">
        <v>-0.38960956070540909</v>
      </c>
      <c r="W211">
        <v>7.2317955481367976E-2</v>
      </c>
      <c r="X211">
        <v>-0.23313617235516951</v>
      </c>
      <c r="Y211">
        <v>0.206723262472049</v>
      </c>
      <c r="Z211">
        <v>0.21378771700293331</v>
      </c>
      <c r="AA211">
        <v>0.16504866916606359</v>
      </c>
      <c r="AB211">
        <v>-0.1562706588927594</v>
      </c>
      <c r="AC211">
        <v>-1.784490853893304E-2</v>
      </c>
      <c r="AD211">
        <v>-0.67267415623376703</v>
      </c>
      <c r="AE211">
        <v>0.5726145642088758</v>
      </c>
      <c r="AF211">
        <v>0.16146068744686631</v>
      </c>
      <c r="AG211">
        <v>0.33347739567387003</v>
      </c>
      <c r="AH211">
        <v>-0.38367531526296761</v>
      </c>
      <c r="AI211">
        <v>-0.20709406559649629</v>
      </c>
      <c r="AJ211">
        <v>0.34796634888688383</v>
      </c>
      <c r="AK211">
        <v>7.4364229052752071E-2</v>
      </c>
      <c r="AL211">
        <v>8.3327585546195196E-3</v>
      </c>
      <c r="AM211">
        <v>-4.7060016380966317E-2</v>
      </c>
      <c r="AN211">
        <v>0.53579190030920376</v>
      </c>
      <c r="AO211">
        <v>-0.19687220827246499</v>
      </c>
      <c r="AP211">
        <v>-1.0582175751228261E-3</v>
      </c>
      <c r="AQ211">
        <v>-9.742891536999454E-2</v>
      </c>
      <c r="AR211">
        <v>0.45076185462924723</v>
      </c>
      <c r="AS211">
        <v>0.54993499533716028</v>
      </c>
      <c r="AT211">
        <v>0.61540937991851974</v>
      </c>
      <c r="AU211">
        <v>3.8096966269703259E-3</v>
      </c>
      <c r="AV211">
        <v>0.32640591414199238</v>
      </c>
      <c r="AW211">
        <v>-0.32790375473193112</v>
      </c>
      <c r="AX211">
        <v>-0.43043497052352259</v>
      </c>
    </row>
    <row r="212" spans="1:50" x14ac:dyDescent="0.25">
      <c r="A212">
        <v>-0.16234295395519821</v>
      </c>
      <c r="B212">
        <v>6.3117669794925835E-2</v>
      </c>
      <c r="C212">
        <v>2.1309526695771849E-2</v>
      </c>
      <c r="D212">
        <v>7.2075316348871488E-2</v>
      </c>
      <c r="E212">
        <v>-2.1448184118739058E-3</v>
      </c>
      <c r="F212">
        <v>-0.26482345839242738</v>
      </c>
      <c r="G212">
        <v>-6.9826284121210044E-2</v>
      </c>
      <c r="H212">
        <v>7.4522045118406474E-2</v>
      </c>
      <c r="I212">
        <v>-8.305340506680553E-2</v>
      </c>
      <c r="J212">
        <v>0.43095863079222613</v>
      </c>
      <c r="K212">
        <v>-0.14063519614553821</v>
      </c>
      <c r="L212">
        <v>-0.1816437854863458</v>
      </c>
      <c r="M212">
        <v>-0.122691895141472</v>
      </c>
      <c r="N212">
        <v>-6.2052882672018847E-2</v>
      </c>
      <c r="O212">
        <v>0.21906767878468331</v>
      </c>
      <c r="P212">
        <v>-7.2750242640592655E-2</v>
      </c>
      <c r="Q212">
        <v>-0.19396032126315271</v>
      </c>
      <c r="R212">
        <v>0.32831724918051558</v>
      </c>
      <c r="S212">
        <v>-0.20324440990902751</v>
      </c>
      <c r="T212">
        <v>0.17085118367355329</v>
      </c>
      <c r="U212">
        <v>-0.246226357674561</v>
      </c>
      <c r="V212">
        <v>3.1590299806603217E-2</v>
      </c>
      <c r="W212">
        <v>-4.8197937032742173E-2</v>
      </c>
      <c r="X212">
        <v>4.1908889232917253E-2</v>
      </c>
      <c r="Y212">
        <v>0.17575987590786901</v>
      </c>
      <c r="Z212">
        <v>0.19570913659548569</v>
      </c>
      <c r="AA212">
        <v>6.6945241108386039E-2</v>
      </c>
      <c r="AB212">
        <v>-0.1991701890761611</v>
      </c>
      <c r="AC212">
        <v>0.1249128657937735</v>
      </c>
      <c r="AD212">
        <v>-0.15541846565935399</v>
      </c>
      <c r="AE212">
        <v>-0.11681547131716991</v>
      </c>
      <c r="AF212">
        <v>0.2446187127186506</v>
      </c>
      <c r="AG212">
        <v>0.28654677335227779</v>
      </c>
      <c r="AH212">
        <v>4.5780590175815448E-2</v>
      </c>
      <c r="AI212">
        <v>0.12594111260635099</v>
      </c>
      <c r="AJ212">
        <v>-0.14955079395086271</v>
      </c>
      <c r="AK212">
        <v>-1.660998042769106E-2</v>
      </c>
      <c r="AL212">
        <v>8.9701291693387877E-2</v>
      </c>
      <c r="AM212">
        <v>5.8296659665478853E-2</v>
      </c>
      <c r="AN212">
        <v>0.1144850822964229</v>
      </c>
      <c r="AO212">
        <v>0.20991830536022449</v>
      </c>
      <c r="AP212">
        <v>-0.10229654042967989</v>
      </c>
      <c r="AQ212">
        <v>0.27610808526496639</v>
      </c>
      <c r="AR212">
        <v>0.33285893447434778</v>
      </c>
      <c r="AS212">
        <v>-0.17151493395851039</v>
      </c>
      <c r="AT212">
        <v>0.38158512487282897</v>
      </c>
      <c r="AU212">
        <v>-0.16240374026407281</v>
      </c>
      <c r="AV212">
        <v>-2.084962826478887E-2</v>
      </c>
      <c r="AW212">
        <v>0.22675069414996671</v>
      </c>
      <c r="AX212">
        <v>-7.8356397222651683E-2</v>
      </c>
    </row>
    <row r="213" spans="1:50" x14ac:dyDescent="0.25">
      <c r="A213">
        <v>6.4924453637054347E-2</v>
      </c>
      <c r="B213">
        <v>0.27754538798864808</v>
      </c>
      <c r="C213">
        <v>0.14904628856208499</v>
      </c>
      <c r="D213">
        <v>0.2336009636657555</v>
      </c>
      <c r="E213">
        <v>7.2162182402780439E-2</v>
      </c>
      <c r="F213">
        <v>-6.214159920126499E-2</v>
      </c>
      <c r="G213">
        <v>6.0510582698082058E-2</v>
      </c>
      <c r="H213">
        <v>3.119635076581696E-2</v>
      </c>
      <c r="I213">
        <v>3.6475257235865567E-2</v>
      </c>
      <c r="J213">
        <v>0.1944729080701845</v>
      </c>
      <c r="K213">
        <v>-0.3595360925796689</v>
      </c>
      <c r="L213">
        <v>0.13136706895926489</v>
      </c>
      <c r="M213">
        <v>-1.4699126804123551E-2</v>
      </c>
      <c r="N213">
        <v>0.27678753169359221</v>
      </c>
      <c r="O213">
        <v>0.28773348055206471</v>
      </c>
      <c r="P213">
        <v>-0.14158370475400911</v>
      </c>
      <c r="Q213">
        <v>0.1602787337431496</v>
      </c>
      <c r="R213">
        <v>0.48010264550900789</v>
      </c>
      <c r="S213">
        <v>-0.10586277832844559</v>
      </c>
      <c r="T213">
        <v>-7.3024534951162637E-2</v>
      </c>
      <c r="U213">
        <v>-5.3354273427216638E-2</v>
      </c>
      <c r="V213">
        <v>0.38781487466686598</v>
      </c>
      <c r="W213">
        <v>-0.27593714275555309</v>
      </c>
      <c r="X213">
        <v>0.138589799572999</v>
      </c>
      <c r="Y213">
        <v>0.18469390538380959</v>
      </c>
      <c r="Z213">
        <v>7.8655798259166965E-2</v>
      </c>
      <c r="AA213">
        <v>-0.19453406170755569</v>
      </c>
      <c r="AB213">
        <v>6.4021199539010365E-2</v>
      </c>
      <c r="AC213">
        <v>-0.16081106922062829</v>
      </c>
      <c r="AD213">
        <v>0.15803710821845579</v>
      </c>
      <c r="AE213">
        <v>0.14411089443934191</v>
      </c>
      <c r="AF213">
        <v>0.30046851876819591</v>
      </c>
      <c r="AG213">
        <v>1.6553378758138729E-2</v>
      </c>
      <c r="AH213">
        <v>-8.5131016884132989E-3</v>
      </c>
      <c r="AI213">
        <v>-0.10265758677974229</v>
      </c>
      <c r="AJ213">
        <v>5.2203755749230833E-3</v>
      </c>
      <c r="AK213">
        <v>7.8831109016100867E-2</v>
      </c>
      <c r="AL213">
        <v>0.26203473575018182</v>
      </c>
      <c r="AM213">
        <v>-0.37448323344701478</v>
      </c>
      <c r="AN213">
        <v>0.28787312067294762</v>
      </c>
      <c r="AO213">
        <v>0.31601647059083482</v>
      </c>
      <c r="AP213">
        <v>0.13470406840586899</v>
      </c>
      <c r="AQ213">
        <v>1.6979823280938221E-3</v>
      </c>
      <c r="AR213">
        <v>-3.0650321052704731E-2</v>
      </c>
      <c r="AS213">
        <v>3.0662459281479489E-2</v>
      </c>
      <c r="AT213">
        <v>-0.1768157735478024</v>
      </c>
      <c r="AU213">
        <v>0.20058930284403029</v>
      </c>
      <c r="AV213">
        <v>-7.4902304637014389E-2</v>
      </c>
      <c r="AW213">
        <v>0.19441006012702969</v>
      </c>
      <c r="AX213">
        <v>0.2113701056375141</v>
      </c>
    </row>
    <row r="214" spans="1:50" x14ac:dyDescent="0.25">
      <c r="A214">
        <v>6.3938784658824285E-2</v>
      </c>
      <c r="B214">
        <v>7.9758477862250224E-2</v>
      </c>
      <c r="C214">
        <v>5.9252042364892621E-2</v>
      </c>
      <c r="D214">
        <v>0.27277042793314832</v>
      </c>
      <c r="E214">
        <v>-1.27282241476466E-2</v>
      </c>
      <c r="F214">
        <v>0.23490462758549169</v>
      </c>
      <c r="G214">
        <v>-0.14766314502540009</v>
      </c>
      <c r="H214">
        <v>-0.27339493870862258</v>
      </c>
      <c r="I214">
        <v>0.2076304314198876</v>
      </c>
      <c r="J214">
        <v>8.3293229897943438E-2</v>
      </c>
      <c r="K214">
        <v>-0.149325525592508</v>
      </c>
      <c r="L214">
        <v>4.0594891405245172E-2</v>
      </c>
      <c r="M214">
        <v>0.26679370163406191</v>
      </c>
      <c r="N214">
        <v>0.34387942179152292</v>
      </c>
      <c r="O214">
        <v>-0.14788313350456339</v>
      </c>
      <c r="P214">
        <v>-0.10898027822342959</v>
      </c>
      <c r="Q214">
        <v>-0.14680432827913101</v>
      </c>
      <c r="R214">
        <v>-4.2634954993073161E-2</v>
      </c>
      <c r="S214">
        <v>-6.9087200172233576E-2</v>
      </c>
      <c r="T214">
        <v>-3.3325477447165588E-2</v>
      </c>
      <c r="U214">
        <v>0.144165143743405</v>
      </c>
      <c r="V214">
        <v>-7.4978345127313828E-2</v>
      </c>
      <c r="W214">
        <v>7.8924732458614158E-2</v>
      </c>
      <c r="X214">
        <v>-0.23233457964398441</v>
      </c>
      <c r="Y214">
        <v>0.15081224194392809</v>
      </c>
      <c r="Z214">
        <v>4.4208792038370227E-2</v>
      </c>
      <c r="AA214">
        <v>0.34091531782710638</v>
      </c>
      <c r="AB214">
        <v>0.13338984156628211</v>
      </c>
      <c r="AC214">
        <v>-7.6958776791875683E-2</v>
      </c>
      <c r="AD214">
        <v>-0.20002626660657649</v>
      </c>
      <c r="AE214">
        <v>-0.109812037338751</v>
      </c>
      <c r="AF214">
        <v>0.13762807595031609</v>
      </c>
      <c r="AG214">
        <v>-0.166901120951849</v>
      </c>
      <c r="AH214">
        <v>-8.9102570545705875E-2</v>
      </c>
      <c r="AI214">
        <v>-4.8301274955235222E-2</v>
      </c>
      <c r="AJ214">
        <v>0.29167686170842549</v>
      </c>
      <c r="AK214">
        <v>6.8068834243324869E-2</v>
      </c>
      <c r="AL214">
        <v>0.1751110066575943</v>
      </c>
      <c r="AM214">
        <v>5.7162121902865001E-3</v>
      </c>
      <c r="AN214">
        <v>3.6697709891610593E-2</v>
      </c>
      <c r="AO214">
        <v>-3.3806888144379939E-2</v>
      </c>
      <c r="AP214">
        <v>-0.17984467047823369</v>
      </c>
      <c r="AQ214">
        <v>0.40572551246909477</v>
      </c>
      <c r="AR214">
        <v>-3.5940717658897087E-2</v>
      </c>
      <c r="AS214">
        <v>0.1078837384258982</v>
      </c>
      <c r="AT214">
        <v>5.2568154062075163E-2</v>
      </c>
      <c r="AU214">
        <v>-9.7348423282087176E-2</v>
      </c>
      <c r="AV214">
        <v>-4.4235215173589242E-2</v>
      </c>
      <c r="AW214">
        <v>0.29645504317478683</v>
      </c>
      <c r="AX214">
        <v>-0.1918835757171781</v>
      </c>
    </row>
    <row r="215" spans="1:50" x14ac:dyDescent="0.25">
      <c r="A215">
        <v>0.2718239944455349</v>
      </c>
      <c r="B215">
        <v>0.15645989041944641</v>
      </c>
      <c r="C215">
        <v>-0.20806840301899071</v>
      </c>
      <c r="D215">
        <v>0.22772802218884949</v>
      </c>
      <c r="E215">
        <v>-0.20648360192397361</v>
      </c>
      <c r="F215">
        <v>2.079560111900499E-2</v>
      </c>
      <c r="G215">
        <v>-6.5924772103540391E-2</v>
      </c>
      <c r="H215">
        <v>-5.9203673328327412E-2</v>
      </c>
      <c r="I215">
        <v>-5.7005757484001572E-2</v>
      </c>
      <c r="J215">
        <v>-4.7387741149454363E-2</v>
      </c>
      <c r="K215">
        <v>0.28054291034489048</v>
      </c>
      <c r="L215">
        <v>5.2247689033950932E-2</v>
      </c>
      <c r="M215">
        <v>5.3985895001303859E-2</v>
      </c>
      <c r="N215">
        <v>0.19359353783017799</v>
      </c>
      <c r="O215">
        <v>0.1506068982388703</v>
      </c>
      <c r="P215">
        <v>2.1276105441110481E-2</v>
      </c>
      <c r="Q215">
        <v>6.5960472735886982E-2</v>
      </c>
      <c r="R215">
        <v>-0.10378319976116319</v>
      </c>
      <c r="S215">
        <v>-7.2087245693281149E-2</v>
      </c>
      <c r="T215">
        <v>-6.3281072718537973E-2</v>
      </c>
      <c r="U215">
        <v>0.13092754785535721</v>
      </c>
      <c r="V215">
        <v>0.26407833738365533</v>
      </c>
      <c r="W215">
        <v>7.8304277251847826E-2</v>
      </c>
      <c r="X215">
        <v>0.53480433668578076</v>
      </c>
      <c r="Y215">
        <v>-4.8539396909828288E-2</v>
      </c>
      <c r="Z215">
        <v>-0.133931168200733</v>
      </c>
      <c r="AA215">
        <v>0.21816107055495029</v>
      </c>
      <c r="AB215">
        <v>-4.0383740777302293E-2</v>
      </c>
      <c r="AC215">
        <v>-0.14690381069298919</v>
      </c>
      <c r="AD215">
        <v>-0.1384158992756547</v>
      </c>
      <c r="AE215">
        <v>-0.14691090314978891</v>
      </c>
      <c r="AF215">
        <v>0.16547956910343509</v>
      </c>
      <c r="AG215">
        <v>-4.6268560118333163E-2</v>
      </c>
      <c r="AH215">
        <v>-0.19016226939347439</v>
      </c>
      <c r="AI215">
        <v>0.11595676523411</v>
      </c>
      <c r="AJ215">
        <v>-0.21865006906486659</v>
      </c>
      <c r="AK215">
        <v>8.311298313632827E-2</v>
      </c>
      <c r="AL215">
        <v>0.2286655088819147</v>
      </c>
      <c r="AM215">
        <v>-0.19315996855233461</v>
      </c>
      <c r="AN215">
        <v>-0.21524699237472669</v>
      </c>
      <c r="AO215">
        <v>-4.342620337858441E-2</v>
      </c>
      <c r="AP215">
        <v>-0.26189110081934752</v>
      </c>
      <c r="AQ215">
        <v>-9.2600536785417201E-2</v>
      </c>
      <c r="AR215">
        <v>1.388845037384919E-2</v>
      </c>
      <c r="AS215">
        <v>0.1540767842983006</v>
      </c>
      <c r="AT215">
        <v>0.20399999265488139</v>
      </c>
      <c r="AU215">
        <v>0.18976374448574171</v>
      </c>
      <c r="AV215">
        <v>0.11055520646984961</v>
      </c>
      <c r="AW215">
        <v>0.18828468499734419</v>
      </c>
      <c r="AX215">
        <v>3.9753446179389843E-3</v>
      </c>
    </row>
    <row r="216" spans="1:50" x14ac:dyDescent="0.25">
      <c r="A216">
        <v>-8.9072757233946448E-2</v>
      </c>
      <c r="B216">
        <v>4.1066953898404923E-2</v>
      </c>
      <c r="C216">
        <v>-0.1230783298575116</v>
      </c>
      <c r="D216">
        <v>-0.14499099516895431</v>
      </c>
      <c r="E216">
        <v>0.14138264235434339</v>
      </c>
      <c r="F216">
        <v>-7.4905158157696439E-2</v>
      </c>
      <c r="G216">
        <v>-0.15100621350296919</v>
      </c>
      <c r="H216">
        <v>0.20536916301720171</v>
      </c>
      <c r="I216">
        <v>-0.15412785453773981</v>
      </c>
      <c r="J216">
        <v>-7.432339804847142E-2</v>
      </c>
      <c r="K216">
        <v>4.5404231507026931E-2</v>
      </c>
      <c r="L216">
        <v>0.14033681117221991</v>
      </c>
      <c r="M216">
        <v>-6.3346560167405655E-2</v>
      </c>
      <c r="N216">
        <v>-6.6386650649292181E-2</v>
      </c>
      <c r="O216">
        <v>0.19612958911873629</v>
      </c>
      <c r="P216">
        <v>9.2567176231653114E-2</v>
      </c>
      <c r="Q216">
        <v>4.2432757323006491E-2</v>
      </c>
      <c r="R216">
        <v>0.16969939689945371</v>
      </c>
      <c r="S216">
        <v>0.27112698094449977</v>
      </c>
      <c r="T216">
        <v>0.20527050257692031</v>
      </c>
      <c r="U216">
        <v>-6.0680943098037309E-2</v>
      </c>
      <c r="V216">
        <v>-0.12145319535850869</v>
      </c>
      <c r="W216">
        <v>0.13769272527441881</v>
      </c>
      <c r="X216">
        <v>-2.154889727812062E-3</v>
      </c>
      <c r="Y216">
        <v>-7.5734328295794143E-2</v>
      </c>
      <c r="Z216">
        <v>0.37399124911118309</v>
      </c>
      <c r="AA216">
        <v>-3.746493833659232E-2</v>
      </c>
      <c r="AB216">
        <v>0.13499598615730421</v>
      </c>
      <c r="AC216">
        <v>6.5131503480663835E-2</v>
      </c>
      <c r="AD216">
        <v>-8.6651078806634502E-2</v>
      </c>
      <c r="AE216">
        <v>0.1001940483547147</v>
      </c>
      <c r="AF216">
        <v>9.9277629763682415E-2</v>
      </c>
      <c r="AG216">
        <v>3.7268121015792202E-2</v>
      </c>
      <c r="AH216">
        <v>-0.187279165491126</v>
      </c>
      <c r="AI216">
        <v>3.4518333494518223E-2</v>
      </c>
      <c r="AJ216">
        <v>0.17150832349695011</v>
      </c>
      <c r="AK216">
        <v>-4.6685000510355297E-2</v>
      </c>
      <c r="AL216">
        <v>9.1306745580064116E-2</v>
      </c>
      <c r="AM216">
        <v>-0.11401660409703621</v>
      </c>
      <c r="AN216">
        <v>6.772285487915225E-3</v>
      </c>
      <c r="AO216">
        <v>-9.5446202809477548E-3</v>
      </c>
      <c r="AP216">
        <v>-0.23306601762673099</v>
      </c>
      <c r="AQ216">
        <v>0.13528835877176729</v>
      </c>
      <c r="AR216">
        <v>0.31535674157002069</v>
      </c>
      <c r="AS216">
        <v>-0.1892471076356215</v>
      </c>
      <c r="AT216">
        <v>-1.4767134811128631E-2</v>
      </c>
      <c r="AU216">
        <v>8.0999619199125669E-2</v>
      </c>
      <c r="AV216">
        <v>-9.0465747378694839E-2</v>
      </c>
      <c r="AW216">
        <v>0.14383519380408019</v>
      </c>
      <c r="AX216">
        <v>0.1260492773386962</v>
      </c>
    </row>
    <row r="217" spans="1:50" x14ac:dyDescent="0.25">
      <c r="A217">
        <v>-0.32971327129680211</v>
      </c>
      <c r="B217">
        <v>0.61693544854437132</v>
      </c>
      <c r="C217">
        <v>-0.34935852180460519</v>
      </c>
      <c r="D217">
        <v>0.34921076622168501</v>
      </c>
      <c r="E217">
        <v>-0.14580088301016281</v>
      </c>
      <c r="F217">
        <v>-1.096359277007827E-2</v>
      </c>
      <c r="G217">
        <v>-0.18949139501965589</v>
      </c>
      <c r="H217">
        <v>-0.43467712482480431</v>
      </c>
      <c r="I217">
        <v>-0.1723915229425311</v>
      </c>
      <c r="J217">
        <v>-0.30143001684063359</v>
      </c>
      <c r="K217">
        <v>0.26751558655207658</v>
      </c>
      <c r="L217">
        <v>1.6195540364851518E-2</v>
      </c>
      <c r="M217">
        <v>-0.1152274184629071</v>
      </c>
      <c r="N217">
        <v>0.50142453387464814</v>
      </c>
      <c r="O217">
        <v>-0.13389159303944351</v>
      </c>
      <c r="P217">
        <v>-0.59004344071498693</v>
      </c>
      <c r="Q217">
        <v>-6.8907983792516364E-2</v>
      </c>
      <c r="R217">
        <v>-1.99300991379683E-2</v>
      </c>
      <c r="S217">
        <v>-3.6864679657410533E-2</v>
      </c>
      <c r="T217">
        <v>0.13405117640070879</v>
      </c>
      <c r="U217">
        <v>-0.27755578546948911</v>
      </c>
      <c r="V217">
        <v>-0.3711580935388637</v>
      </c>
      <c r="W217">
        <v>0.42578851736922718</v>
      </c>
      <c r="X217">
        <v>-0.26321577296818638</v>
      </c>
      <c r="Y217">
        <v>-0.41049099242121179</v>
      </c>
      <c r="Z217">
        <v>2.863731552676762E-3</v>
      </c>
      <c r="AA217">
        <v>5.5671031089174948E-2</v>
      </c>
      <c r="AB217">
        <v>0.48208228528553171</v>
      </c>
      <c r="AC217">
        <v>0.20313432241086099</v>
      </c>
      <c r="AD217">
        <v>-0.2466522042820691</v>
      </c>
      <c r="AE217">
        <v>-0.47481315081255859</v>
      </c>
      <c r="AF217">
        <v>-0.27702014774528672</v>
      </c>
      <c r="AG217">
        <v>-2.1459180845891729E-2</v>
      </c>
      <c r="AH217">
        <v>0.4147831428095165</v>
      </c>
      <c r="AI217">
        <v>-7.3330971989759269E-2</v>
      </c>
      <c r="AJ217">
        <v>3.4958270531872032E-2</v>
      </c>
      <c r="AK217">
        <v>-0.12594138503739319</v>
      </c>
      <c r="AL217">
        <v>0.1703263136466257</v>
      </c>
      <c r="AM217">
        <v>0.19944537311695701</v>
      </c>
      <c r="AN217">
        <v>-5.4577548026814679E-2</v>
      </c>
      <c r="AO217">
        <v>0.57095824317239741</v>
      </c>
      <c r="AP217">
        <v>0.24784951446723461</v>
      </c>
      <c r="AQ217">
        <v>-0.29038625804257878</v>
      </c>
      <c r="AR217">
        <v>-1.012308429622881E-2</v>
      </c>
      <c r="AS217">
        <v>-0.26168060127806719</v>
      </c>
      <c r="AT217">
        <v>0.23443107379517919</v>
      </c>
      <c r="AU217">
        <v>0.17350586533588749</v>
      </c>
      <c r="AV217">
        <v>1.083917619436461E-2</v>
      </c>
      <c r="AW217">
        <v>-0.23148840065788259</v>
      </c>
      <c r="AX217">
        <v>-0.34893260925569453</v>
      </c>
    </row>
    <row r="218" spans="1:50" x14ac:dyDescent="0.25">
      <c r="A218">
        <v>1.4351240835809101E-6</v>
      </c>
      <c r="B218">
        <v>2.46725870924446E-2</v>
      </c>
      <c r="C218">
        <v>-2.174959258606185E-2</v>
      </c>
      <c r="D218">
        <v>8.4622778257863546E-2</v>
      </c>
      <c r="E218">
        <v>-9.3957507833055765E-4</v>
      </c>
      <c r="F218">
        <v>1.3044225100033689E-2</v>
      </c>
      <c r="G218">
        <v>9.0479331090069184E-2</v>
      </c>
      <c r="H218">
        <v>-7.7105654890710744E-3</v>
      </c>
      <c r="I218">
        <v>6.9978781917070229E-2</v>
      </c>
      <c r="J218">
        <v>0.20710836121272791</v>
      </c>
      <c r="K218">
        <v>9.3270345808515089E-3</v>
      </c>
      <c r="L218">
        <v>-3.7913378854453569E-3</v>
      </c>
      <c r="M218">
        <v>-2.4018859967549601E-3</v>
      </c>
      <c r="N218">
        <v>-5.6916838066912463E-3</v>
      </c>
      <c r="O218">
        <v>-1.0489800922604851E-2</v>
      </c>
      <c r="P218">
        <v>9.7091917276258238E-2</v>
      </c>
      <c r="Q218">
        <v>1.7312272198849031E-2</v>
      </c>
      <c r="R218">
        <v>4.1859846092612431E-2</v>
      </c>
      <c r="S218">
        <v>-2.7599098322776811E-2</v>
      </c>
      <c r="T218">
        <v>-2.386758620144212E-2</v>
      </c>
      <c r="U218">
        <v>8.1525622933743921E-2</v>
      </c>
      <c r="V218">
        <v>0.1194269197212606</v>
      </c>
      <c r="W218">
        <v>4.2115480156562267E-2</v>
      </c>
      <c r="X218">
        <v>-9.9758517056072037E-3</v>
      </c>
      <c r="Y218">
        <v>5.1211998638146718E-2</v>
      </c>
      <c r="Z218">
        <v>8.4208186642898489E-3</v>
      </c>
      <c r="AA218">
        <v>2.606071359744537E-2</v>
      </c>
      <c r="AB218">
        <v>-6.2681528789865952E-3</v>
      </c>
      <c r="AC218">
        <v>-5.8957504898780592E-2</v>
      </c>
      <c r="AD218">
        <v>-3.0282799643055421E-3</v>
      </c>
      <c r="AE218">
        <v>0.1186984149481104</v>
      </c>
      <c r="AF218">
        <v>4.0512876945401413E-2</v>
      </c>
      <c r="AG218">
        <v>-2.949261858281858E-2</v>
      </c>
      <c r="AH218">
        <v>5.8284042119258646E-3</v>
      </c>
      <c r="AI218">
        <v>9.7933570195864225E-2</v>
      </c>
      <c r="AJ218">
        <v>-8.377528937914186E-2</v>
      </c>
      <c r="AK218">
        <v>-4.2689238557658792E-3</v>
      </c>
      <c r="AL218">
        <v>6.7542341848045737E-2</v>
      </c>
      <c r="AM218">
        <v>-8.962734922331704E-2</v>
      </c>
      <c r="AN218">
        <v>3.1956286389526909E-3</v>
      </c>
      <c r="AO218">
        <v>-5.0877584825749639E-2</v>
      </c>
      <c r="AP218">
        <v>-2.9703974765663589E-2</v>
      </c>
      <c r="AQ218">
        <v>7.6636939023852449E-2</v>
      </c>
      <c r="AR218">
        <v>-5.2110436348502487E-2</v>
      </c>
      <c r="AS218">
        <v>2.0803297240268811E-3</v>
      </c>
      <c r="AT218">
        <v>-1.7905972688775661E-2</v>
      </c>
      <c r="AU218">
        <v>3.6417903294709307E-2</v>
      </c>
      <c r="AV218">
        <v>2.887909722699222E-2</v>
      </c>
      <c r="AW218">
        <v>7.099375773724767E-2</v>
      </c>
      <c r="AX218">
        <v>8.4590661363426658E-3</v>
      </c>
    </row>
    <row r="219" spans="1:50" x14ac:dyDescent="0.25">
      <c r="A219">
        <v>0.17784455584897901</v>
      </c>
      <c r="B219">
        <v>-0.1279424270026078</v>
      </c>
      <c r="C219">
        <v>-4.1409160141925493E-2</v>
      </c>
      <c r="D219">
        <v>4.5230330347141738E-2</v>
      </c>
      <c r="E219">
        <v>-0.12731925088756901</v>
      </c>
      <c r="F219">
        <v>-5.2614360489634637E-2</v>
      </c>
      <c r="G219">
        <v>-0.21723614266896049</v>
      </c>
      <c r="H219">
        <v>-2.768643246041634E-3</v>
      </c>
      <c r="I219">
        <v>0.1222513097941017</v>
      </c>
      <c r="J219">
        <v>0.11318587607182271</v>
      </c>
      <c r="K219">
        <v>9.4125834610702133E-2</v>
      </c>
      <c r="L219">
        <v>0.1137076731285213</v>
      </c>
      <c r="M219">
        <v>-0.16844394551810679</v>
      </c>
      <c r="N219">
        <v>0.161958619385596</v>
      </c>
      <c r="O219">
        <v>-3.5884302407134631E-2</v>
      </c>
      <c r="P219">
        <v>-0.1473221198711952</v>
      </c>
      <c r="Q219">
        <v>-4.28013654142946E-2</v>
      </c>
      <c r="R219">
        <v>0.14863317934487311</v>
      </c>
      <c r="S219">
        <v>0.25525940989795942</v>
      </c>
      <c r="T219">
        <v>-1.6701168386708761E-2</v>
      </c>
      <c r="U219">
        <v>-8.1332522266093065E-3</v>
      </c>
      <c r="V219">
        <v>-0.12356711904775711</v>
      </c>
      <c r="W219">
        <v>-0.1036048850674815</v>
      </c>
      <c r="X219">
        <v>-5.2621176231751679E-3</v>
      </c>
      <c r="Y219">
        <v>2.3481850646158549E-2</v>
      </c>
      <c r="Z219">
        <v>-2.011703680283098E-2</v>
      </c>
      <c r="AA219">
        <v>9.4714981087590272E-2</v>
      </c>
      <c r="AB219">
        <v>-0.1996361509178918</v>
      </c>
      <c r="AC219">
        <v>0.13251786517818301</v>
      </c>
      <c r="AD219">
        <v>0.13806996401980809</v>
      </c>
      <c r="AE219">
        <v>0.11649702244922081</v>
      </c>
      <c r="AF219">
        <v>1.376757322146872E-2</v>
      </c>
      <c r="AG219">
        <v>0.14454109258121561</v>
      </c>
      <c r="AH219">
        <v>-0.123009469653628</v>
      </c>
      <c r="AI219">
        <v>4.2713749796855043E-2</v>
      </c>
      <c r="AJ219">
        <v>0.1172194573487657</v>
      </c>
      <c r="AK219">
        <v>-0.21617733384947971</v>
      </c>
      <c r="AL219">
        <v>2.255339002694657E-2</v>
      </c>
      <c r="AM219">
        <v>-5.6551917158334082E-2</v>
      </c>
      <c r="AN219">
        <v>0.18076346816627509</v>
      </c>
      <c r="AO219">
        <v>0.28943020275862141</v>
      </c>
      <c r="AP219">
        <v>2.4331183269010879E-2</v>
      </c>
      <c r="AQ219">
        <v>-0.17464831003067061</v>
      </c>
      <c r="AR219">
        <v>0.22943155390140099</v>
      </c>
      <c r="AS219">
        <v>-0.1332113524871941</v>
      </c>
      <c r="AT219">
        <v>-2.1351759368455599E-3</v>
      </c>
      <c r="AU219">
        <v>-7.0109620554874866E-2</v>
      </c>
      <c r="AV219">
        <v>8.1507588357858193E-2</v>
      </c>
      <c r="AW219">
        <v>-8.7586100311766363E-2</v>
      </c>
      <c r="AX219">
        <v>-0.14569151233276839</v>
      </c>
    </row>
    <row r="220" spans="1:50" x14ac:dyDescent="0.25">
      <c r="A220">
        <v>1.6108629708306191E-2</v>
      </c>
      <c r="B220">
        <v>2.440594577450398E-2</v>
      </c>
      <c r="C220">
        <v>-4.4454658046253811E-3</v>
      </c>
      <c r="D220">
        <v>2.985256557616859E-2</v>
      </c>
      <c r="E220">
        <v>-8.6591972172429343E-4</v>
      </c>
      <c r="F220">
        <v>2.5822535236853648E-2</v>
      </c>
      <c r="G220">
        <v>1.9874000517476571E-2</v>
      </c>
      <c r="H220">
        <v>-8.0474777779416234E-3</v>
      </c>
      <c r="I220">
        <v>4.6133278990239373E-3</v>
      </c>
      <c r="J220">
        <v>2.851321218484399E-2</v>
      </c>
      <c r="K220">
        <v>2.1482041478473522E-2</v>
      </c>
      <c r="L220">
        <v>-1.266086017589991E-2</v>
      </c>
      <c r="M220">
        <v>1.535631468977053E-2</v>
      </c>
      <c r="N220">
        <v>1.4973099301144909E-2</v>
      </c>
      <c r="O220">
        <v>4.4929099272756602E-2</v>
      </c>
      <c r="P220">
        <v>1.462639134064149E-2</v>
      </c>
      <c r="Q220">
        <v>5.1400681049338863E-2</v>
      </c>
      <c r="R220">
        <v>3.2273185158811737E-2</v>
      </c>
      <c r="S220">
        <v>2.2096479109471361E-2</v>
      </c>
      <c r="T220">
        <v>9.2431753602953415E-3</v>
      </c>
      <c r="U220">
        <v>3.6861133132077339E-2</v>
      </c>
      <c r="V220">
        <v>1.5644008272205651E-2</v>
      </c>
      <c r="W220">
        <v>1.387764711560374E-2</v>
      </c>
      <c r="X220">
        <v>-1.1391272881170089E-2</v>
      </c>
      <c r="Y220">
        <v>2.1816243932466169E-2</v>
      </c>
      <c r="Z220">
        <v>6.8739556208197911E-2</v>
      </c>
      <c r="AA220">
        <v>3.8296815090874091E-2</v>
      </c>
      <c r="AB220">
        <v>1.8886311897242391E-2</v>
      </c>
      <c r="AC220">
        <v>1.098512288863096E-2</v>
      </c>
      <c r="AD220">
        <v>3.915220408516165E-3</v>
      </c>
      <c r="AE220">
        <v>3.4248744721722582E-2</v>
      </c>
      <c r="AF220">
        <v>-4.9642568724913389E-3</v>
      </c>
      <c r="AG220">
        <v>2.7273609099361149E-2</v>
      </c>
      <c r="AH220">
        <v>1.3447893958845771E-2</v>
      </c>
      <c r="AI220">
        <v>2.3358166603742379E-2</v>
      </c>
      <c r="AJ220">
        <v>3.8877602818413563E-2</v>
      </c>
      <c r="AK220">
        <v>-1.1173399534522231E-2</v>
      </c>
      <c r="AL220">
        <v>1.72199325390756E-2</v>
      </c>
      <c r="AM220">
        <v>2.2286404842491971E-2</v>
      </c>
      <c r="AN220">
        <v>-1.476496229916899E-3</v>
      </c>
      <c r="AO220">
        <v>-8.015184843512763E-3</v>
      </c>
      <c r="AP220">
        <v>-2.5094592080879601E-2</v>
      </c>
      <c r="AQ220">
        <v>-3.8161733513089179E-4</v>
      </c>
      <c r="AR220">
        <v>3.8581791083094549E-2</v>
      </c>
      <c r="AS220">
        <v>2.355706604909694E-2</v>
      </c>
      <c r="AT220">
        <v>1.4696410687174729E-3</v>
      </c>
      <c r="AU220">
        <v>3.0512263839631709E-2</v>
      </c>
      <c r="AV220">
        <v>2.460202016190265E-2</v>
      </c>
      <c r="AW220">
        <v>2.411456178707666E-2</v>
      </c>
      <c r="AX220">
        <v>1.846079832205445E-2</v>
      </c>
    </row>
    <row r="221" spans="1:50" x14ac:dyDescent="0.25">
      <c r="A221">
        <v>8.526698170393452E-3</v>
      </c>
      <c r="B221">
        <v>5.0675534560987431E-2</v>
      </c>
      <c r="C221">
        <v>-1.016972073195088E-2</v>
      </c>
      <c r="D221">
        <v>5.5952667078587981E-2</v>
      </c>
      <c r="E221">
        <v>8.154750400834904E-3</v>
      </c>
      <c r="F221">
        <v>4.1714995068958573E-2</v>
      </c>
      <c r="G221">
        <v>3.5430864093832497E-2</v>
      </c>
      <c r="H221">
        <v>5.31642178374837E-3</v>
      </c>
      <c r="I221">
        <v>-6.3076659931424178E-3</v>
      </c>
      <c r="J221">
        <v>6.0515290748015461E-2</v>
      </c>
      <c r="K221">
        <v>4.1188787601607643E-2</v>
      </c>
      <c r="L221">
        <v>-3.1227587873691441E-3</v>
      </c>
      <c r="M221">
        <v>5.0913548368227278E-2</v>
      </c>
      <c r="N221">
        <v>5.5763432443151129E-2</v>
      </c>
      <c r="O221">
        <v>9.3610631153099866E-2</v>
      </c>
      <c r="P221">
        <v>5.4347723854620403E-2</v>
      </c>
      <c r="Q221">
        <v>6.8471752282453946E-2</v>
      </c>
      <c r="R221">
        <v>9.6226222262277047E-2</v>
      </c>
      <c r="S221">
        <v>4.6317478150911251E-2</v>
      </c>
      <c r="T221">
        <v>3.2577994204959458E-2</v>
      </c>
      <c r="U221">
        <v>7.4539162150777008E-2</v>
      </c>
      <c r="V221">
        <v>6.1642847364122018E-2</v>
      </c>
      <c r="W221">
        <v>3.3972636187758427E-2</v>
      </c>
      <c r="X221">
        <v>-7.1445438256001054E-3</v>
      </c>
      <c r="Y221">
        <v>4.8065063892068369E-2</v>
      </c>
      <c r="Z221">
        <v>6.2916916360092806E-2</v>
      </c>
      <c r="AA221">
        <v>4.9295882085689538E-2</v>
      </c>
      <c r="AB221">
        <v>4.8730295721649414E-3</v>
      </c>
      <c r="AC221">
        <v>3.5871103958453783E-2</v>
      </c>
      <c r="AD221">
        <v>-3.5112701698399229E-3</v>
      </c>
      <c r="AE221">
        <v>6.3418262276871959E-2</v>
      </c>
      <c r="AF221">
        <v>1.095370930400701E-2</v>
      </c>
      <c r="AG221">
        <v>4.8915249873808832E-2</v>
      </c>
      <c r="AH221">
        <v>1.878208049899472E-2</v>
      </c>
      <c r="AI221">
        <v>4.1337570046653532E-2</v>
      </c>
      <c r="AJ221">
        <v>5.9592733871552332E-2</v>
      </c>
      <c r="AK221">
        <v>-4.3705521158587737E-3</v>
      </c>
      <c r="AL221">
        <v>3.815298301557811E-2</v>
      </c>
      <c r="AM221">
        <v>3.2496108515339607E-2</v>
      </c>
      <c r="AN221">
        <v>1.249626781071231E-2</v>
      </c>
      <c r="AO221">
        <v>4.9219928738323551E-2</v>
      </c>
      <c r="AP221">
        <v>-3.685584253300063E-2</v>
      </c>
      <c r="AQ221">
        <v>7.877894188587602E-3</v>
      </c>
      <c r="AR221">
        <v>6.8599434947423182E-2</v>
      </c>
      <c r="AS221">
        <v>4.5928797828877523E-2</v>
      </c>
      <c r="AT221">
        <v>1.938375744352876E-2</v>
      </c>
      <c r="AU221">
        <v>6.6224779465623274E-2</v>
      </c>
      <c r="AV221">
        <v>5.9722917724344293E-2</v>
      </c>
      <c r="AW221">
        <v>4.1872507980175951E-2</v>
      </c>
      <c r="AX221">
        <v>7.328134722610357E-3</v>
      </c>
    </row>
    <row r="222" spans="1:50" x14ac:dyDescent="0.25">
      <c r="A222">
        <v>-2.461528395394829E-2</v>
      </c>
      <c r="B222">
        <v>9.6348463552872624E-4</v>
      </c>
      <c r="C222">
        <v>-1.965313725803052E-3</v>
      </c>
      <c r="D222">
        <v>3.0775697105807999E-2</v>
      </c>
      <c r="E222">
        <v>0.10361522627762761</v>
      </c>
      <c r="F222">
        <v>-2.863812668599354E-2</v>
      </c>
      <c r="G222">
        <v>-1.9817129596872669E-2</v>
      </c>
      <c r="H222">
        <v>0.1021204230305832</v>
      </c>
      <c r="I222">
        <v>-8.1257732188499479E-2</v>
      </c>
      <c r="J222">
        <v>3.3970604072705697E-2</v>
      </c>
      <c r="K222">
        <v>-1.066597088171692E-2</v>
      </c>
      <c r="L222">
        <v>-1.9590222072617791E-2</v>
      </c>
      <c r="M222">
        <v>4.1625210729087501E-2</v>
      </c>
      <c r="N222">
        <v>1.4945090624304561E-2</v>
      </c>
      <c r="O222">
        <v>-6.48846007788179E-2</v>
      </c>
      <c r="P222">
        <v>0.1057907381780164</v>
      </c>
      <c r="Q222">
        <v>-7.8373304789960463E-2</v>
      </c>
      <c r="R222">
        <v>-8.1416548368907299E-2</v>
      </c>
      <c r="S222">
        <v>1.197505863245403E-2</v>
      </c>
      <c r="T222">
        <v>1.432865332336238E-2</v>
      </c>
      <c r="U222">
        <v>-1.6480097918643761E-2</v>
      </c>
      <c r="V222">
        <v>0.16613661229879231</v>
      </c>
      <c r="W222">
        <v>0.11598991094946461</v>
      </c>
      <c r="X222">
        <v>-3.5173689282440981E-2</v>
      </c>
      <c r="Y222">
        <v>-4.3396240633117164E-3</v>
      </c>
      <c r="Z222">
        <v>4.9642630641826682E-2</v>
      </c>
      <c r="AA222">
        <v>0.15793840672008719</v>
      </c>
      <c r="AB222">
        <v>-0.17461816166145619</v>
      </c>
      <c r="AC222">
        <v>8.9389589292579397E-2</v>
      </c>
      <c r="AD222">
        <v>3.0770823954833521E-2</v>
      </c>
      <c r="AE222">
        <v>0.1402342657241375</v>
      </c>
      <c r="AF222">
        <v>-2.9403574013790231E-2</v>
      </c>
      <c r="AG222">
        <v>3.6741020839303667E-2</v>
      </c>
      <c r="AH222">
        <v>9.9368920875405158E-3</v>
      </c>
      <c r="AI222">
        <v>-5.1282002326158878E-2</v>
      </c>
      <c r="AJ222">
        <v>3.7031873510209659E-2</v>
      </c>
      <c r="AK222">
        <v>-1.9876440577027789E-2</v>
      </c>
      <c r="AL222">
        <v>-5.7295966489941848E-2</v>
      </c>
      <c r="AM222">
        <v>-3.4147781124094431E-2</v>
      </c>
      <c r="AN222">
        <v>0.1174968788609945</v>
      </c>
      <c r="AO222">
        <v>-7.1694675372834027E-2</v>
      </c>
      <c r="AP222">
        <v>2.363039819428079E-2</v>
      </c>
      <c r="AQ222">
        <v>4.717105164294863E-2</v>
      </c>
      <c r="AR222">
        <v>-9.1605431172284549E-2</v>
      </c>
      <c r="AS222">
        <v>2.1179176944117289E-2</v>
      </c>
      <c r="AT222">
        <v>-2.6048154430243042E-3</v>
      </c>
      <c r="AU222">
        <v>1.571059210974117E-2</v>
      </c>
      <c r="AV222">
        <v>1.2407455027740041E-2</v>
      </c>
      <c r="AW222">
        <v>-3.3259137074331598E-2</v>
      </c>
      <c r="AX222">
        <v>0.17013521502268289</v>
      </c>
    </row>
    <row r="223" spans="1:50" x14ac:dyDescent="0.25">
      <c r="A223">
        <v>-3.747960882389064E-3</v>
      </c>
      <c r="B223">
        <v>0.16952695653276989</v>
      </c>
      <c r="C223">
        <v>-4.1362617870324372E-2</v>
      </c>
      <c r="D223">
        <v>-6.3596465709008287E-2</v>
      </c>
      <c r="E223">
        <v>0.15038882139258319</v>
      </c>
      <c r="F223">
        <v>2.9310949976021142E-2</v>
      </c>
      <c r="G223">
        <v>2.8652097453942239E-2</v>
      </c>
      <c r="H223">
        <v>8.1209691686415605E-2</v>
      </c>
      <c r="I223">
        <v>-4.262059055193234E-2</v>
      </c>
      <c r="J223">
        <v>9.4215353446440928E-3</v>
      </c>
      <c r="K223">
        <v>-2.0290534217142091E-2</v>
      </c>
      <c r="L223">
        <v>-4.3800919090574188E-2</v>
      </c>
      <c r="M223">
        <v>2.0183213279035842E-2</v>
      </c>
      <c r="N223">
        <v>0.25957704828197242</v>
      </c>
      <c r="O223">
        <v>-9.5599821261305382E-2</v>
      </c>
      <c r="P223">
        <v>-3.6021086699427073E-2</v>
      </c>
      <c r="Q223">
        <v>-0.17511839911763569</v>
      </c>
      <c r="R223">
        <v>-7.0893602157347718E-2</v>
      </c>
      <c r="S223">
        <v>-7.8710256313568691E-2</v>
      </c>
      <c r="T223">
        <v>0.13338382835320289</v>
      </c>
      <c r="U223">
        <v>5.949238472054362E-2</v>
      </c>
      <c r="V223">
        <v>0.24866208510891591</v>
      </c>
      <c r="W223">
        <v>-4.9934399731023461E-2</v>
      </c>
      <c r="X223">
        <v>0.12609532045093649</v>
      </c>
      <c r="Y223">
        <v>-7.0675991884877984E-2</v>
      </c>
      <c r="Z223">
        <v>0.13955733148054339</v>
      </c>
      <c r="AA223">
        <v>-0.1032119985332635</v>
      </c>
      <c r="AB223">
        <v>-6.2926739306556109E-2</v>
      </c>
      <c r="AC223">
        <v>-7.5255526570277648E-2</v>
      </c>
      <c r="AD223">
        <v>-7.72996621129758E-2</v>
      </c>
      <c r="AE223">
        <v>1.8906283632527471E-2</v>
      </c>
      <c r="AF223">
        <v>-0.1112280303816688</v>
      </c>
      <c r="AG223">
        <v>0.13402700453732991</v>
      </c>
      <c r="AH223">
        <v>0.13451660166168089</v>
      </c>
      <c r="AI223">
        <v>8.3927169652076666E-2</v>
      </c>
      <c r="AJ223">
        <v>1.394389509553957E-3</v>
      </c>
      <c r="AK223">
        <v>0.23656145938239939</v>
      </c>
      <c r="AL223">
        <v>-9.2758679375490038E-2</v>
      </c>
      <c r="AM223">
        <v>7.933133188006819E-2</v>
      </c>
      <c r="AN223">
        <v>0.1162491248008672</v>
      </c>
      <c r="AO223">
        <v>0.1652761854918772</v>
      </c>
      <c r="AP223">
        <v>-0.12754809800734959</v>
      </c>
      <c r="AQ223">
        <v>0.18560725650958851</v>
      </c>
      <c r="AR223">
        <v>7.745476706299121E-3</v>
      </c>
      <c r="AS223">
        <v>8.0538150373180586E-2</v>
      </c>
      <c r="AT223">
        <v>7.3612781068954705E-2</v>
      </c>
      <c r="AU223">
        <v>8.5421173579444384E-2</v>
      </c>
      <c r="AV223">
        <v>1.6946257047460611E-2</v>
      </c>
      <c r="AW223">
        <v>0.15012672956391829</v>
      </c>
      <c r="AX223">
        <v>5.9419334298081689E-2</v>
      </c>
    </row>
    <row r="224" spans="1:50" x14ac:dyDescent="0.25">
      <c r="A224">
        <v>-0.28040121031530818</v>
      </c>
      <c r="B224">
        <v>-0.16382864490684959</v>
      </c>
      <c r="C224">
        <v>-0.38340058127470927</v>
      </c>
      <c r="D224">
        <v>-4.0489706126974223E-2</v>
      </c>
      <c r="E224">
        <v>-0.25961185759629218</v>
      </c>
      <c r="F224">
        <v>-0.114639299630052</v>
      </c>
      <c r="G224">
        <v>0.29499704767235041</v>
      </c>
      <c r="H224">
        <v>0.23701158537252739</v>
      </c>
      <c r="I224">
        <v>0.18537176475491621</v>
      </c>
      <c r="J224">
        <v>3.6323967110265788E-2</v>
      </c>
      <c r="K224">
        <v>-0.36340019649138711</v>
      </c>
      <c r="L224">
        <v>6.6955223326013794E-2</v>
      </c>
      <c r="M224">
        <v>0.30744733442619709</v>
      </c>
      <c r="N224">
        <v>0.25604259071133528</v>
      </c>
      <c r="O224">
        <v>9.4355301951395076E-2</v>
      </c>
      <c r="P224">
        <v>-9.7837043679834521E-2</v>
      </c>
      <c r="Q224">
        <v>-0.35855816761337078</v>
      </c>
      <c r="R224">
        <v>-0.22977167398861981</v>
      </c>
      <c r="S224">
        <v>0.14299992645484261</v>
      </c>
      <c r="T224">
        <v>-0.28981397227092798</v>
      </c>
      <c r="U224">
        <v>0.2072952399072871</v>
      </c>
      <c r="V224">
        <v>0.3045389985361423</v>
      </c>
      <c r="W224">
        <v>-0.16588519696355139</v>
      </c>
      <c r="X224">
        <v>0.2016652148134972</v>
      </c>
      <c r="Y224">
        <v>0.24569393187723651</v>
      </c>
      <c r="Z224">
        <v>0.45760639541715359</v>
      </c>
      <c r="AA224">
        <v>-0.21661858798962791</v>
      </c>
      <c r="AB224">
        <v>0.13829580127535651</v>
      </c>
      <c r="AC224">
        <v>0.28625953015652378</v>
      </c>
      <c r="AD224">
        <v>-2.879856406338575E-2</v>
      </c>
      <c r="AE224">
        <v>8.1326186763480066E-2</v>
      </c>
      <c r="AF224">
        <v>0.27342984233423367</v>
      </c>
      <c r="AG224">
        <v>-0.24868895118078449</v>
      </c>
      <c r="AH224">
        <v>-2.527397448977195E-2</v>
      </c>
      <c r="AI224">
        <v>3.3088049538432328E-2</v>
      </c>
      <c r="AJ224">
        <v>0.40200528194817697</v>
      </c>
      <c r="AK224">
        <v>-0.30024588990232309</v>
      </c>
      <c r="AL224">
        <v>0.2014211495263781</v>
      </c>
      <c r="AM224">
        <v>0.36812345045481232</v>
      </c>
      <c r="AN224">
        <v>0.44571119556503069</v>
      </c>
      <c r="AO224">
        <v>0.1570264509982266</v>
      </c>
      <c r="AP224">
        <v>-0.33910923970546608</v>
      </c>
      <c r="AQ224">
        <v>0.36974110345453348</v>
      </c>
      <c r="AR224">
        <v>0.48516065151917531</v>
      </c>
      <c r="AS224">
        <v>-0.19865491424036841</v>
      </c>
      <c r="AT224">
        <v>-0.2153423184118802</v>
      </c>
      <c r="AU224">
        <v>0.29829301414216192</v>
      </c>
      <c r="AV224">
        <v>0.34533695106280471</v>
      </c>
      <c r="AW224">
        <v>-6.1348236970332981E-2</v>
      </c>
      <c r="AX224">
        <v>0.2949419107254736</v>
      </c>
    </row>
    <row r="225" spans="1:50" x14ac:dyDescent="0.25">
      <c r="A225">
        <v>-0.30098482687301559</v>
      </c>
      <c r="B225">
        <v>3.0245452461681799E-2</v>
      </c>
      <c r="C225">
        <v>0.27036779160648933</v>
      </c>
      <c r="D225">
        <v>7.833249438001455E-2</v>
      </c>
      <c r="E225">
        <v>0.44838478571997259</v>
      </c>
      <c r="F225">
        <v>9.1913964160550643E-2</v>
      </c>
      <c r="G225">
        <v>0.18169228586373229</v>
      </c>
      <c r="H225">
        <v>3.3292480142169692E-2</v>
      </c>
      <c r="I225">
        <v>-0.13278649687921179</v>
      </c>
      <c r="J225">
        <v>0.20007466899516019</v>
      </c>
      <c r="K225">
        <v>-0.1068375608641518</v>
      </c>
      <c r="L225">
        <v>0.1054340599497918</v>
      </c>
      <c r="M225">
        <v>-0.1180943758527829</v>
      </c>
      <c r="N225">
        <v>6.3982797091318485E-4</v>
      </c>
      <c r="O225">
        <v>-6.615518576887057E-2</v>
      </c>
      <c r="P225">
        <v>-0.13368593305762641</v>
      </c>
      <c r="Q225">
        <v>0.14298981980836711</v>
      </c>
      <c r="R225">
        <v>6.0735580311596191E-2</v>
      </c>
      <c r="S225">
        <v>0.20917308410001539</v>
      </c>
      <c r="T225">
        <v>0.3012716930278429</v>
      </c>
      <c r="U225">
        <v>-0.46185823157063732</v>
      </c>
      <c r="V225">
        <v>-0.13189216944667331</v>
      </c>
      <c r="W225">
        <v>0.2034965899623486</v>
      </c>
      <c r="X225">
        <v>1.259026154353277E-4</v>
      </c>
      <c r="Y225">
        <v>-0.27384135105821589</v>
      </c>
      <c r="Z225">
        <v>1.8586075260084978E-2</v>
      </c>
      <c r="AA225">
        <v>0.19083052860489519</v>
      </c>
      <c r="AB225">
        <v>0.27535305455926973</v>
      </c>
      <c r="AC225">
        <v>-0.1677910552243235</v>
      </c>
      <c r="AD225">
        <v>0.11288158332786601</v>
      </c>
      <c r="AE225">
        <v>-0.26185082429293449</v>
      </c>
      <c r="AF225">
        <v>0.25669732589404681</v>
      </c>
      <c r="AG225">
        <v>-0.21519115069573089</v>
      </c>
      <c r="AH225">
        <v>0.1014757863299502</v>
      </c>
      <c r="AI225">
        <v>-0.1210593344170999</v>
      </c>
      <c r="AJ225">
        <v>0.41003652682846731</v>
      </c>
      <c r="AK225">
        <v>-0.2226018053486061</v>
      </c>
      <c r="AL225">
        <v>0.30430160710275739</v>
      </c>
      <c r="AM225">
        <v>-7.442211010709171E-2</v>
      </c>
      <c r="AN225">
        <v>-0.1934697662877693</v>
      </c>
      <c r="AO225">
        <v>0.14892666338695951</v>
      </c>
      <c r="AP225">
        <v>0.3141299809993166</v>
      </c>
      <c r="AQ225">
        <v>-0.19145918170464041</v>
      </c>
      <c r="AR225">
        <v>1.346633042011346E-2</v>
      </c>
      <c r="AS225">
        <v>-0.32591742016162178</v>
      </c>
      <c r="AT225">
        <v>0.29501504306106202</v>
      </c>
      <c r="AU225">
        <v>-0.21127715215626361</v>
      </c>
      <c r="AV225">
        <v>-0.14535568672585519</v>
      </c>
      <c r="AW225">
        <v>7.854408917008085E-2</v>
      </c>
      <c r="AX225">
        <v>0.32171584320090091</v>
      </c>
    </row>
    <row r="226" spans="1:50" x14ac:dyDescent="0.25">
      <c r="A226">
        <v>-7.1146248744336643E-2</v>
      </c>
      <c r="B226">
        <v>1.195722492434078E-2</v>
      </c>
      <c r="C226">
        <v>0.28494160077629871</v>
      </c>
      <c r="D226">
        <v>0.10000440114735171</v>
      </c>
      <c r="E226">
        <v>0.21992994026879351</v>
      </c>
      <c r="F226">
        <v>2.9511664198829331E-2</v>
      </c>
      <c r="G226">
        <v>3.5001222295954877E-2</v>
      </c>
      <c r="H226">
        <v>5.1401087044639471E-2</v>
      </c>
      <c r="I226">
        <v>0.13045742461326831</v>
      </c>
      <c r="J226">
        <v>0.30573137346534413</v>
      </c>
      <c r="K226">
        <v>8.4463106357763051E-2</v>
      </c>
      <c r="L226">
        <v>-0.11441303715847589</v>
      </c>
      <c r="M226">
        <v>-0.17920012582772751</v>
      </c>
      <c r="N226">
        <v>-0.19065325354710161</v>
      </c>
      <c r="O226">
        <v>8.6465108576139538E-2</v>
      </c>
      <c r="P226">
        <v>5.7737876821979811E-2</v>
      </c>
      <c r="Q226">
        <v>3.0310792876920459E-2</v>
      </c>
      <c r="R226">
        <v>0.25199325890388519</v>
      </c>
      <c r="S226">
        <v>0.30663189605660091</v>
      </c>
      <c r="T226">
        <v>-4.5959558638928373E-2</v>
      </c>
      <c r="U226">
        <v>-0.13636898440923301</v>
      </c>
      <c r="V226">
        <v>2.4917441368161351E-2</v>
      </c>
      <c r="W226">
        <v>-0.1441456599961462</v>
      </c>
      <c r="X226">
        <v>-0.17717833271565611</v>
      </c>
      <c r="Y226">
        <v>-1.0402794848770641E-2</v>
      </c>
      <c r="Z226">
        <v>-3.9317537916986091E-2</v>
      </c>
      <c r="AA226">
        <v>-0.25739089863780151</v>
      </c>
      <c r="AB226">
        <v>0.16650530058583921</v>
      </c>
      <c r="AC226">
        <v>-3.9978030098185097E-2</v>
      </c>
      <c r="AD226">
        <v>1.0942668144769539E-2</v>
      </c>
      <c r="AE226">
        <v>-1.65386544261442E-2</v>
      </c>
      <c r="AF226">
        <v>-0.26766550238000819</v>
      </c>
      <c r="AG226">
        <v>0.14987338405323039</v>
      </c>
      <c r="AH226">
        <v>4.4817390512449817E-2</v>
      </c>
      <c r="AI226">
        <v>-6.4996226511996449E-2</v>
      </c>
      <c r="AJ226">
        <v>0.18394554062691251</v>
      </c>
      <c r="AK226">
        <v>0.30255493902172431</v>
      </c>
      <c r="AL226">
        <v>-8.4302385674584576E-2</v>
      </c>
      <c r="AM226">
        <v>0.31304040127105509</v>
      </c>
      <c r="AN226">
        <v>0.24370082456441081</v>
      </c>
      <c r="AO226">
        <v>-5.5593908765813202E-2</v>
      </c>
      <c r="AP226">
        <v>-0.1031938657781747</v>
      </c>
      <c r="AQ226">
        <v>-0.27844170409388258</v>
      </c>
      <c r="AR226">
        <v>-0.1115002000345405</v>
      </c>
      <c r="AS226">
        <v>0.16436531929813969</v>
      </c>
      <c r="AT226">
        <v>6.6707857808317852E-2</v>
      </c>
      <c r="AU226">
        <v>0.21935425693567909</v>
      </c>
      <c r="AV226">
        <v>1.546695972013807E-2</v>
      </c>
      <c r="AW226">
        <v>0.21779324918622209</v>
      </c>
      <c r="AX226">
        <v>2.7404510539100979E-2</v>
      </c>
    </row>
    <row r="227" spans="1:50" x14ac:dyDescent="0.25">
      <c r="A227">
        <v>-6.8078298870556483E-2</v>
      </c>
      <c r="B227">
        <v>-6.9802456535008606E-2</v>
      </c>
      <c r="C227">
        <v>-0.188906546054878</v>
      </c>
      <c r="D227">
        <v>1.7507647243111778E-2</v>
      </c>
      <c r="E227">
        <v>-8.0939648791802363E-2</v>
      </c>
      <c r="F227">
        <v>-0.1125362885582495</v>
      </c>
      <c r="G227">
        <v>-1.7521515800647289E-2</v>
      </c>
      <c r="H227">
        <v>2.2834195068162609E-2</v>
      </c>
      <c r="I227">
        <v>-3.9979163247519059E-2</v>
      </c>
      <c r="J227">
        <v>-0.2042719493462668</v>
      </c>
      <c r="K227">
        <v>6.5828620785478797E-2</v>
      </c>
      <c r="L227">
        <v>-0.20272400842379981</v>
      </c>
      <c r="M227">
        <v>6.7651924504371339E-2</v>
      </c>
      <c r="N227">
        <v>0.15646123384956201</v>
      </c>
      <c r="O227">
        <v>8.4874196089277029E-2</v>
      </c>
      <c r="P227">
        <v>3.8493157359556267E-2</v>
      </c>
      <c r="Q227">
        <v>-9.9044754250272649E-2</v>
      </c>
      <c r="R227">
        <v>-1.9825752072198222E-2</v>
      </c>
      <c r="S227">
        <v>-6.1807480640546961E-2</v>
      </c>
      <c r="T227">
        <v>0.1036180253430901</v>
      </c>
      <c r="U227">
        <v>8.6537803277810341E-2</v>
      </c>
      <c r="V227">
        <v>-0.10428899304979911</v>
      </c>
      <c r="W227">
        <v>6.4766941226330433E-3</v>
      </c>
      <c r="X227">
        <v>-2.9841244617125588E-4</v>
      </c>
      <c r="Y227">
        <v>-9.843179516630518E-2</v>
      </c>
      <c r="Z227">
        <v>0.1208347995886305</v>
      </c>
      <c r="AA227">
        <v>4.7224752223497313E-2</v>
      </c>
      <c r="AB227">
        <v>-0.1094513216358623</v>
      </c>
      <c r="AC227">
        <v>9.4819247315735308E-2</v>
      </c>
      <c r="AD227">
        <v>-0.10150323645029161</v>
      </c>
      <c r="AE227">
        <v>9.5827411713483079E-2</v>
      </c>
      <c r="AF227">
        <v>3.0491231778379469E-2</v>
      </c>
      <c r="AG227">
        <v>1.334596247788366E-3</v>
      </c>
      <c r="AH227">
        <v>-3.8104733314149743E-2</v>
      </c>
      <c r="AI227">
        <v>0.1241635277916039</v>
      </c>
      <c r="AJ227">
        <v>-3.7561982225919797E-2</v>
      </c>
      <c r="AK227">
        <v>4.7825551744877202E-2</v>
      </c>
      <c r="AL227">
        <v>-0.13667846496889871</v>
      </c>
      <c r="AM227">
        <v>0.16194065070308819</v>
      </c>
      <c r="AN227">
        <v>-0.1151425179657236</v>
      </c>
      <c r="AO227">
        <v>-5.1079558431615983E-2</v>
      </c>
      <c r="AP227">
        <v>-0.14780745799293149</v>
      </c>
      <c r="AQ227">
        <v>6.7890679999127262E-2</v>
      </c>
      <c r="AR227">
        <v>-6.701749306719143E-2</v>
      </c>
      <c r="AS227">
        <v>5.7347710218355011E-2</v>
      </c>
      <c r="AT227">
        <v>-3.8055366179018862E-2</v>
      </c>
      <c r="AU227">
        <v>-0.11408694732708589</v>
      </c>
      <c r="AV227">
        <v>0.11655952720237869</v>
      </c>
      <c r="AW227">
        <v>-6.9981314325439484E-2</v>
      </c>
      <c r="AX227">
        <v>0.1073375240520269</v>
      </c>
    </row>
    <row r="228" spans="1:50" x14ac:dyDescent="0.25">
      <c r="A228">
        <v>-0.1221464827171687</v>
      </c>
      <c r="B228">
        <v>-7.5689621605453894E-2</v>
      </c>
      <c r="C228">
        <v>-0.1356353947654188</v>
      </c>
      <c r="D228">
        <v>-7.4242672728717943E-2</v>
      </c>
      <c r="E228">
        <v>4.1939485128198611E-4</v>
      </c>
      <c r="F228">
        <v>-4.9675503998419031E-2</v>
      </c>
      <c r="G228">
        <v>9.0491904868399628E-3</v>
      </c>
      <c r="H228">
        <v>0.1347951332889632</v>
      </c>
      <c r="I228">
        <v>3.0854177044596792E-2</v>
      </c>
      <c r="J228">
        <v>-6.1382987220530073E-2</v>
      </c>
      <c r="K228">
        <v>-3.5452225609768129E-2</v>
      </c>
      <c r="L228">
        <v>-1.2624493313542739E-2</v>
      </c>
      <c r="M228">
        <v>0.20196278147664801</v>
      </c>
      <c r="N228">
        <v>1.8926737569997059E-2</v>
      </c>
      <c r="O228">
        <v>-1.7482132332492271E-2</v>
      </c>
      <c r="P228">
        <v>0.30624473264904112</v>
      </c>
      <c r="Q228">
        <v>2.0218900522436859E-2</v>
      </c>
      <c r="R228">
        <v>0.13103967565344851</v>
      </c>
      <c r="S228">
        <v>1.691267634700348E-2</v>
      </c>
      <c r="T228">
        <v>-4.0989467157175642E-2</v>
      </c>
      <c r="U228">
        <v>-3.4006239735740518E-2</v>
      </c>
      <c r="V228">
        <v>-2.1312405471828891E-2</v>
      </c>
      <c r="W228">
        <v>0.19892443581912381</v>
      </c>
      <c r="X228">
        <v>7.0307235534374452E-3</v>
      </c>
      <c r="Y228">
        <v>-4.7478769343039379E-2</v>
      </c>
      <c r="Z228">
        <v>-2.3307631187676248E-2</v>
      </c>
      <c r="AA228">
        <v>-0.13795361712238299</v>
      </c>
      <c r="AB228">
        <v>7.4661837860822674E-3</v>
      </c>
      <c r="AC228">
        <v>-2.76229781150597E-3</v>
      </c>
      <c r="AD228">
        <v>-1.700158025301721E-2</v>
      </c>
      <c r="AE228">
        <v>-5.1615233849896462E-2</v>
      </c>
      <c r="AF228">
        <v>9.6632647696942284E-2</v>
      </c>
      <c r="AG228">
        <v>-9.8528618480261662E-2</v>
      </c>
      <c r="AH228">
        <v>4.9865723183582719E-2</v>
      </c>
      <c r="AI228">
        <v>3.5026576215042883E-2</v>
      </c>
      <c r="AJ228">
        <v>-5.0793686617685567E-2</v>
      </c>
      <c r="AK228">
        <v>-0.1306050244766962</v>
      </c>
      <c r="AL228">
        <v>2.7268228620567658E-2</v>
      </c>
      <c r="AM228">
        <v>-4.529251429607635E-2</v>
      </c>
      <c r="AN228">
        <v>-2.060401214734138E-2</v>
      </c>
      <c r="AO228">
        <v>-6.1046154184303709E-3</v>
      </c>
      <c r="AP228">
        <v>-2.883286499153883E-2</v>
      </c>
      <c r="AQ228">
        <v>2.913144910164266E-2</v>
      </c>
      <c r="AR228">
        <v>-4.8960693418231498E-2</v>
      </c>
      <c r="AS228">
        <v>2.6950174818149569E-2</v>
      </c>
      <c r="AT228">
        <v>7.8598217219446338E-3</v>
      </c>
      <c r="AU228">
        <v>4.8705867305791198E-2</v>
      </c>
      <c r="AV228">
        <v>5.4039709040828857E-4</v>
      </c>
      <c r="AW228">
        <v>0.11906488494393221</v>
      </c>
      <c r="AX228">
        <v>9.5630379347709724E-3</v>
      </c>
    </row>
    <row r="229" spans="1:50" x14ac:dyDescent="0.25">
      <c r="A229">
        <v>-9.3864397520618148E-2</v>
      </c>
      <c r="B229">
        <v>-8.537969567164215E-2</v>
      </c>
      <c r="C229">
        <v>1.9269554670240888E-2</v>
      </c>
      <c r="D229">
        <v>-0.29699055607073838</v>
      </c>
      <c r="E229">
        <v>1.1274021937482731E-2</v>
      </c>
      <c r="F229">
        <v>9.0490955295035161E-2</v>
      </c>
      <c r="G229">
        <v>-7.4795657852144747E-3</v>
      </c>
      <c r="H229">
        <v>-0.14748063251416821</v>
      </c>
      <c r="I229">
        <v>-0.14928863616906379</v>
      </c>
      <c r="J229">
        <v>-0.14189985608245309</v>
      </c>
      <c r="K229">
        <v>3.4813608909924139E-2</v>
      </c>
      <c r="L229">
        <v>-7.7200162357675337E-2</v>
      </c>
      <c r="M229">
        <v>-0.12957046563035801</v>
      </c>
      <c r="N229">
        <v>-5.2460720924477809E-2</v>
      </c>
      <c r="O229">
        <v>-0.15322265626468901</v>
      </c>
      <c r="P229">
        <v>0.13511699116049089</v>
      </c>
      <c r="Q229">
        <v>-0.1328912656916178</v>
      </c>
      <c r="R229">
        <v>-3.0056510098353941E-2</v>
      </c>
      <c r="S229">
        <v>-3.2602946190802257E-2</v>
      </c>
      <c r="T229">
        <v>-8.7056977450395645E-2</v>
      </c>
      <c r="U229">
        <v>-0.1133664719815468</v>
      </c>
      <c r="V229">
        <v>0.17282717709786641</v>
      </c>
      <c r="W229">
        <v>0.127472057969792</v>
      </c>
      <c r="X229">
        <v>-3.1978646944972211E-2</v>
      </c>
      <c r="Y229">
        <v>0.1797207667993172</v>
      </c>
      <c r="Z229">
        <v>-0.15221541759952281</v>
      </c>
      <c r="AA229">
        <v>-1.6279851098438661E-2</v>
      </c>
      <c r="AB229">
        <v>-4.667692552478632E-2</v>
      </c>
      <c r="AC229">
        <v>-7.2686732563690376E-2</v>
      </c>
      <c r="AD229">
        <v>-3.0323764079624289E-2</v>
      </c>
      <c r="AE229">
        <v>0.13106498329228899</v>
      </c>
      <c r="AF229">
        <v>-0.12611671064959409</v>
      </c>
      <c r="AG229">
        <v>-0.113136384149362</v>
      </c>
      <c r="AH229">
        <v>-0.1988096978254614</v>
      </c>
      <c r="AI229">
        <v>0.14601517365538319</v>
      </c>
      <c r="AJ229">
        <v>-8.1843112013713679E-2</v>
      </c>
      <c r="AK229">
        <v>9.1296485764856841E-2</v>
      </c>
      <c r="AL229">
        <v>0.17261654131415791</v>
      </c>
      <c r="AM229">
        <v>3.6782784094329113E-2</v>
      </c>
      <c r="AN229">
        <v>-4.4038754309447987E-2</v>
      </c>
      <c r="AO229">
        <v>-6.281605429305874E-2</v>
      </c>
      <c r="AP229">
        <v>-0.21407982179036869</v>
      </c>
      <c r="AQ229">
        <v>-6.1631207907046598E-2</v>
      </c>
      <c r="AR229">
        <v>-9.1747762849627545E-2</v>
      </c>
      <c r="AS229">
        <v>8.1268090329568429E-2</v>
      </c>
      <c r="AT229">
        <v>-7.6739261473741396E-2</v>
      </c>
      <c r="AU229">
        <v>0.18568691950492661</v>
      </c>
      <c r="AV229">
        <v>-4.80122688703402E-2</v>
      </c>
      <c r="AW229">
        <v>0.14885847913878189</v>
      </c>
      <c r="AX229">
        <v>-0.15679371214093041</v>
      </c>
    </row>
    <row r="230" spans="1:50" x14ac:dyDescent="0.25">
      <c r="A230">
        <v>4.9763653880269217E-2</v>
      </c>
      <c r="B230">
        <v>2.633713119822156E-2</v>
      </c>
      <c r="C230">
        <v>-4.3888314848738166E-3</v>
      </c>
      <c r="D230">
        <v>1.263137733257641E-2</v>
      </c>
      <c r="E230">
        <v>-9.3808095147026064E-4</v>
      </c>
      <c r="F230">
        <v>2.40249302085924E-2</v>
      </c>
      <c r="G230">
        <v>1.369665143579297E-2</v>
      </c>
      <c r="H230">
        <v>-9.1579710286157582E-3</v>
      </c>
      <c r="I230">
        <v>4.1655761945703909E-3</v>
      </c>
      <c r="J230">
        <v>1.380967772395544E-2</v>
      </c>
      <c r="K230">
        <v>2.092057081680871E-2</v>
      </c>
      <c r="L230">
        <v>2.37636384323591E-2</v>
      </c>
      <c r="M230">
        <v>8.5475858580050593E-2</v>
      </c>
      <c r="N230">
        <v>2.0383526536952828E-2</v>
      </c>
      <c r="O230">
        <v>4.5328227239413633E-2</v>
      </c>
      <c r="P230">
        <v>1.125063435334288E-2</v>
      </c>
      <c r="Q230">
        <v>7.866257486197363E-2</v>
      </c>
      <c r="R230">
        <v>3.2173054877943502E-2</v>
      </c>
      <c r="S230">
        <v>1.196694223748326E-2</v>
      </c>
      <c r="T230">
        <v>8.7364251577281057E-3</v>
      </c>
      <c r="U230">
        <v>9.3726773131558416E-2</v>
      </c>
      <c r="V230">
        <v>4.370559548761941E-2</v>
      </c>
      <c r="W230">
        <v>4.5540842170248043E-2</v>
      </c>
      <c r="X230">
        <v>-5.7691799533783215E-4</v>
      </c>
      <c r="Y230">
        <v>2.234330881703437E-2</v>
      </c>
      <c r="Z230">
        <v>2.0650776062998599E-2</v>
      </c>
      <c r="AA230">
        <v>1.9945323859294699E-2</v>
      </c>
      <c r="AB230">
        <v>8.1965645647052547E-3</v>
      </c>
      <c r="AC230">
        <v>-2.6540861845826557E-4</v>
      </c>
      <c r="AD230">
        <v>-8.2370512658051301E-3</v>
      </c>
      <c r="AE230">
        <v>1.959640045995531E-2</v>
      </c>
      <c r="AF230">
        <v>1.2262959108027979E-2</v>
      </c>
      <c r="AG230">
        <v>-7.0224210492737717E-3</v>
      </c>
      <c r="AH230">
        <v>-2.4274372884402758E-2</v>
      </c>
      <c r="AI230">
        <v>2.311435393882989E-2</v>
      </c>
      <c r="AJ230">
        <v>-2.9278367934874232E-4</v>
      </c>
      <c r="AK230">
        <v>1.7134104876099121E-2</v>
      </c>
      <c r="AL230">
        <v>1.8273210040986022E-2</v>
      </c>
      <c r="AM230">
        <v>1.637687127463985E-2</v>
      </c>
      <c r="AN230">
        <v>-1.8677682951457341E-2</v>
      </c>
      <c r="AO230">
        <v>-7.5591583430301892E-3</v>
      </c>
      <c r="AP230">
        <v>-2.4770378629118E-2</v>
      </c>
      <c r="AQ230">
        <v>1.2392548304767071E-2</v>
      </c>
      <c r="AR230">
        <v>0.1014323694868574</v>
      </c>
      <c r="AS230">
        <v>2.4646266069502949E-2</v>
      </c>
      <c r="AT230">
        <v>5.0820472956351996E-3</v>
      </c>
      <c r="AU230">
        <v>2.6614764702244768E-2</v>
      </c>
      <c r="AV230">
        <v>1.4448399890022751E-2</v>
      </c>
      <c r="AW230">
        <v>2.4763677035571259E-2</v>
      </c>
      <c r="AX230">
        <v>-3.626064090737352E-2</v>
      </c>
    </row>
    <row r="231" spans="1:50" x14ac:dyDescent="0.25">
      <c r="A231">
        <v>7.6088226577636494E-3</v>
      </c>
      <c r="B231">
        <v>-9.9009230313872279E-2</v>
      </c>
      <c r="C231">
        <v>-0.15292724250205139</v>
      </c>
      <c r="D231">
        <v>0.16531928713412511</v>
      </c>
      <c r="E231">
        <v>1.288843206359433E-3</v>
      </c>
      <c r="F231">
        <v>0.17505935892544211</v>
      </c>
      <c r="G231">
        <v>0.4492197129899676</v>
      </c>
      <c r="H231">
        <v>0.2179773284248851</v>
      </c>
      <c r="I231">
        <v>-0.17337127891953191</v>
      </c>
      <c r="J231">
        <v>-7.6329915661728184E-2</v>
      </c>
      <c r="K231">
        <v>-4.7097166723796532E-2</v>
      </c>
      <c r="L231">
        <v>8.8355137372224779E-2</v>
      </c>
      <c r="M231">
        <v>-0.109550480207928</v>
      </c>
      <c r="N231">
        <v>3.8625741552450008E-2</v>
      </c>
      <c r="O231">
        <v>0.34950102275552503</v>
      </c>
      <c r="P231">
        <v>-1.6839259270871761E-2</v>
      </c>
      <c r="Q231">
        <v>4.2461882996104441E-2</v>
      </c>
      <c r="R231">
        <v>0.20958042362097359</v>
      </c>
      <c r="S231">
        <v>0.13173464413966329</v>
      </c>
      <c r="T231">
        <v>0.2321132999298709</v>
      </c>
      <c r="U231">
        <v>1.8380459421691E-2</v>
      </c>
      <c r="V231">
        <v>-9.6286258937523517E-2</v>
      </c>
      <c r="W231">
        <v>-0.18203065904847979</v>
      </c>
      <c r="X231">
        <v>0.41350190042710672</v>
      </c>
      <c r="Y231">
        <v>0.1043572499374954</v>
      </c>
      <c r="Z231">
        <v>4.7377275229727603E-3</v>
      </c>
      <c r="AA231">
        <v>-2.6085364071162749E-2</v>
      </c>
      <c r="AB231">
        <v>2.604657488440696E-2</v>
      </c>
      <c r="AC231">
        <v>0.13926504963300121</v>
      </c>
      <c r="AD231">
        <v>-0.1208047047838553</v>
      </c>
      <c r="AE231">
        <v>8.5065862521918209E-2</v>
      </c>
      <c r="AF231">
        <v>-0.18989514905220001</v>
      </c>
      <c r="AG231">
        <v>-1.6746873856063649E-2</v>
      </c>
      <c r="AH231">
        <v>-8.6209431673645739E-2</v>
      </c>
      <c r="AI231">
        <v>-6.1085495947229208E-2</v>
      </c>
      <c r="AJ231">
        <v>0.13835196299198449</v>
      </c>
      <c r="AK231">
        <v>-0.15004012693356719</v>
      </c>
      <c r="AL231">
        <v>-1.528407838021004E-3</v>
      </c>
      <c r="AM231">
        <v>0.1126075307007843</v>
      </c>
      <c r="AN231">
        <v>0.44295157954149228</v>
      </c>
      <c r="AO231">
        <v>0.36085294603052648</v>
      </c>
      <c r="AP231">
        <v>-4.0008665626290532E-2</v>
      </c>
      <c r="AQ231">
        <v>9.0715965968623788E-2</v>
      </c>
      <c r="AR231">
        <v>-2.08600784160713E-2</v>
      </c>
      <c r="AS231">
        <v>0.22146035336439809</v>
      </c>
      <c r="AT231">
        <v>0.31428766941040009</v>
      </c>
      <c r="AU231">
        <v>0.1139429945000026</v>
      </c>
      <c r="AV231">
        <v>0.29840468403664921</v>
      </c>
      <c r="AW231">
        <v>-0.1591144467196916</v>
      </c>
      <c r="AX231">
        <v>0.23881864504755029</v>
      </c>
    </row>
    <row r="232" spans="1:50" x14ac:dyDescent="0.25">
      <c r="A232">
        <v>7.8176872304785393E-3</v>
      </c>
      <c r="B232">
        <v>-0.31806936348522208</v>
      </c>
      <c r="C232">
        <v>4.0411752988136741E-2</v>
      </c>
      <c r="D232">
        <v>0.30856699137211802</v>
      </c>
      <c r="E232">
        <v>0.12498402052605941</v>
      </c>
      <c r="F232">
        <v>0.18638513081952021</v>
      </c>
      <c r="G232">
        <v>0.31994509340128963</v>
      </c>
      <c r="H232">
        <v>0.24163799359300081</v>
      </c>
      <c r="I232">
        <v>0.2180645083350746</v>
      </c>
      <c r="J232">
        <v>0.37673385299725942</v>
      </c>
      <c r="K232">
        <v>0.15485910779713311</v>
      </c>
      <c r="L232">
        <v>-3.4003353345933393E-2</v>
      </c>
      <c r="M232">
        <v>5.1451943383693632E-2</v>
      </c>
      <c r="N232">
        <v>-0.1217480289150074</v>
      </c>
      <c r="O232">
        <v>-0.39933569683711262</v>
      </c>
      <c r="P232">
        <v>-0.1166928613195352</v>
      </c>
      <c r="Q232">
        <v>2.468643184280574E-2</v>
      </c>
      <c r="R232">
        <v>9.2712013277211416E-2</v>
      </c>
      <c r="S232">
        <v>0.15870526006029201</v>
      </c>
      <c r="T232">
        <v>0.47895076346298637</v>
      </c>
      <c r="U232">
        <v>0.24101718448105061</v>
      </c>
      <c r="V232">
        <v>-0.14955732634610419</v>
      </c>
      <c r="W232">
        <v>-8.3017720574925888E-2</v>
      </c>
      <c r="X232">
        <v>-0.21048953226469169</v>
      </c>
      <c r="Y232">
        <v>-1.3992077398383851E-2</v>
      </c>
      <c r="Z232">
        <v>-1.176934702630566E-2</v>
      </c>
      <c r="AA232">
        <v>-0.1645243898492286</v>
      </c>
      <c r="AB232">
        <v>-9.1223701943552671E-2</v>
      </c>
      <c r="AC232">
        <v>-7.175772158747995E-2</v>
      </c>
      <c r="AD232">
        <v>-0.18607078491958659</v>
      </c>
      <c r="AE232">
        <v>-0.20377661872943861</v>
      </c>
      <c r="AF232">
        <v>-6.0272779184420283E-2</v>
      </c>
      <c r="AG232">
        <v>8.2266422737202818E-3</v>
      </c>
      <c r="AH232">
        <v>9.0996598096478226E-2</v>
      </c>
      <c r="AI232">
        <v>-3.590957069919988E-2</v>
      </c>
      <c r="AJ232">
        <v>0.1878494935204082</v>
      </c>
      <c r="AK232">
        <v>-6.5009913810192818E-2</v>
      </c>
      <c r="AL232">
        <v>2.49582250981897E-2</v>
      </c>
      <c r="AM232">
        <v>4.751689684208929E-2</v>
      </c>
      <c r="AN232">
        <v>-9.514383675498149E-2</v>
      </c>
      <c r="AO232">
        <v>-0.13147851139973729</v>
      </c>
      <c r="AP232">
        <v>-0.1316039453538288</v>
      </c>
      <c r="AQ232">
        <v>0.1054486267185427</v>
      </c>
      <c r="AR232">
        <v>0.40818239302970888</v>
      </c>
      <c r="AS232">
        <v>-9.9524730217492668E-2</v>
      </c>
      <c r="AT232">
        <v>-0.10701649203837781</v>
      </c>
      <c r="AU232">
        <v>1.4897597598219349E-2</v>
      </c>
      <c r="AV232">
        <v>0.35286004860854081</v>
      </c>
      <c r="AW232">
        <v>-1.366952466460904E-2</v>
      </c>
      <c r="AX232">
        <v>-7.7607643433672574E-2</v>
      </c>
    </row>
    <row r="233" spans="1:50" x14ac:dyDescent="0.25">
      <c r="A233">
        <v>0.21099586466353451</v>
      </c>
      <c r="B233">
        <v>0.1210804087116272</v>
      </c>
      <c r="C233">
        <v>9.8252140170860203E-2</v>
      </c>
      <c r="D233">
        <v>9.1650004980064384E-2</v>
      </c>
      <c r="E233">
        <v>3.2628912745489472E-2</v>
      </c>
      <c r="F233">
        <v>-7.6176124717103944E-2</v>
      </c>
      <c r="G233">
        <v>-7.040767081885603E-2</v>
      </c>
      <c r="H233">
        <v>-0.13219749237852391</v>
      </c>
      <c r="I233">
        <v>-1.218398832411534E-2</v>
      </c>
      <c r="J233">
        <v>0.16302161575008459</v>
      </c>
      <c r="K233">
        <v>0.18327424959962771</v>
      </c>
      <c r="L233">
        <v>-6.3793553713053661E-2</v>
      </c>
      <c r="M233">
        <v>7.7729126979989349E-2</v>
      </c>
      <c r="N233">
        <v>0.28048557823238268</v>
      </c>
      <c r="O233">
        <v>-6.0632360594841291E-2</v>
      </c>
      <c r="P233">
        <v>2.5900233470735352E-2</v>
      </c>
      <c r="Q233">
        <v>0.19074530954947569</v>
      </c>
      <c r="R233">
        <v>-6.2245909650673087E-2</v>
      </c>
      <c r="S233">
        <v>3.0513042518800809E-2</v>
      </c>
      <c r="T233">
        <v>6.8044448071347102E-2</v>
      </c>
      <c r="U233">
        <v>0.1657427819122281</v>
      </c>
      <c r="V233">
        <v>6.2346432015829619E-3</v>
      </c>
      <c r="W233">
        <v>-0.12888341180351651</v>
      </c>
      <c r="X233">
        <v>-3.9589612725209153E-2</v>
      </c>
      <c r="Y233">
        <v>-4.1038503868504307E-2</v>
      </c>
      <c r="Z233">
        <v>0.1511660854014707</v>
      </c>
      <c r="AA233">
        <v>-9.0545099734267123E-2</v>
      </c>
      <c r="AB233">
        <v>-6.3007188762375668E-2</v>
      </c>
      <c r="AC233">
        <v>0.11166926149564629</v>
      </c>
      <c r="AD233">
        <v>5.0132510645892418E-3</v>
      </c>
      <c r="AE233">
        <v>1.6456360388658489E-3</v>
      </c>
      <c r="AF233">
        <v>8.624118593384282E-2</v>
      </c>
      <c r="AG233">
        <v>0.12667945699733091</v>
      </c>
      <c r="AH233">
        <v>9.7433564015976151E-2</v>
      </c>
      <c r="AI233">
        <v>1.4993193520205041E-2</v>
      </c>
      <c r="AJ233">
        <v>2.3477691498864681E-2</v>
      </c>
      <c r="AK233">
        <v>-0.1011946595719298</v>
      </c>
      <c r="AL233">
        <v>0.14926547334137891</v>
      </c>
      <c r="AM233">
        <v>0.15507224589104429</v>
      </c>
      <c r="AN233">
        <v>-2.5354091952044921E-2</v>
      </c>
      <c r="AO233">
        <v>0.16569652795709469</v>
      </c>
      <c r="AP233">
        <v>5.6388652074155693E-2</v>
      </c>
      <c r="AQ233">
        <v>0.15029018340144831</v>
      </c>
      <c r="AR233">
        <v>-3.6703670662297003E-2</v>
      </c>
      <c r="AS233">
        <v>9.7328662064939411E-2</v>
      </c>
      <c r="AT233">
        <v>-6.3660118825605655E-2</v>
      </c>
      <c r="AU233">
        <v>-8.8587875746844874E-2</v>
      </c>
      <c r="AV233">
        <v>6.794872227761857E-2</v>
      </c>
      <c r="AW233">
        <v>8.5342488450998788E-2</v>
      </c>
      <c r="AX233">
        <v>0.15337642889479411</v>
      </c>
    </row>
    <row r="234" spans="1:50" x14ac:dyDescent="0.25">
      <c r="A234">
        <v>-0.1000723426755511</v>
      </c>
      <c r="B234">
        <v>0.32467717093103499</v>
      </c>
      <c r="C234">
        <v>-0.2292678442989361</v>
      </c>
      <c r="D234">
        <v>0.18766578384045121</v>
      </c>
      <c r="E234">
        <v>-0.21187467854989611</v>
      </c>
      <c r="F234">
        <v>0.22579658257517909</v>
      </c>
      <c r="G234">
        <v>0.21723332579996291</v>
      </c>
      <c r="H234">
        <v>-0.19115091094543579</v>
      </c>
      <c r="I234">
        <v>-0.26939039770253398</v>
      </c>
      <c r="J234">
        <v>-8.5329674619571749E-2</v>
      </c>
      <c r="K234">
        <v>1.112428294820441E-2</v>
      </c>
      <c r="L234">
        <v>7.6703688533300202E-2</v>
      </c>
      <c r="M234">
        <v>-7.218020079335799E-2</v>
      </c>
      <c r="N234">
        <v>0.27845333139984729</v>
      </c>
      <c r="O234">
        <v>7.4061687104021404E-2</v>
      </c>
      <c r="P234">
        <v>-0.1225790926970953</v>
      </c>
      <c r="Q234">
        <v>0.25243810273576839</v>
      </c>
      <c r="R234">
        <v>-0.31110462478075762</v>
      </c>
      <c r="S234">
        <v>-5.1231007444123587E-2</v>
      </c>
      <c r="T234">
        <v>0.26787069495778748</v>
      </c>
      <c r="U234">
        <v>0.20246885214820201</v>
      </c>
      <c r="V234">
        <v>-0.16213425345008639</v>
      </c>
      <c r="W234">
        <v>-4.7838609561845977E-2</v>
      </c>
      <c r="X234">
        <v>-0.14832912091120909</v>
      </c>
      <c r="Y234">
        <v>-1.9950742113393941E-2</v>
      </c>
      <c r="Z234">
        <v>0.35836435948914858</v>
      </c>
      <c r="AA234">
        <v>0.21384104765902021</v>
      </c>
      <c r="AB234">
        <v>7.0338617717102023E-2</v>
      </c>
      <c r="AC234">
        <v>0.1521518660928361</v>
      </c>
      <c r="AD234">
        <v>2.4383422522853911E-2</v>
      </c>
      <c r="AE234">
        <v>-0.1197349335008166</v>
      </c>
      <c r="AF234">
        <v>-0.28963331159984801</v>
      </c>
      <c r="AG234">
        <v>0.26834177548631871</v>
      </c>
      <c r="AH234">
        <v>-0.25511132729508901</v>
      </c>
      <c r="AI234">
        <v>-1.0691141761077E-2</v>
      </c>
      <c r="AJ234">
        <v>0.1578340329866689</v>
      </c>
      <c r="AK234">
        <v>0.40866373224188202</v>
      </c>
      <c r="AL234">
        <v>-6.5334266238406075E-2</v>
      </c>
      <c r="AM234">
        <v>-0.32545915661654667</v>
      </c>
      <c r="AN234">
        <v>0.32901861789301851</v>
      </c>
      <c r="AO234">
        <v>-0.1814416963673367</v>
      </c>
      <c r="AP234">
        <v>0.13900282274410691</v>
      </c>
      <c r="AQ234">
        <v>9.8132965253990793E-3</v>
      </c>
      <c r="AR234">
        <v>-5.2837765527748619E-3</v>
      </c>
      <c r="AS234">
        <v>-0.20010369186910179</v>
      </c>
      <c r="AT234">
        <v>0.115547398294679</v>
      </c>
      <c r="AU234">
        <v>-0.1157696914526393</v>
      </c>
      <c r="AV234">
        <v>0.53491737281667429</v>
      </c>
      <c r="AW234">
        <v>-0.10410593732878801</v>
      </c>
      <c r="AX234">
        <v>0.4514489040544295</v>
      </c>
    </row>
    <row r="235" spans="1:50" x14ac:dyDescent="0.25">
      <c r="A235">
        <v>3.1429467372280168E-2</v>
      </c>
      <c r="B235">
        <v>3.9619594155448877E-2</v>
      </c>
      <c r="C235">
        <v>-0.21747368647099269</v>
      </c>
      <c r="D235">
        <v>-0.32588832726833261</v>
      </c>
      <c r="E235">
        <v>-1.556432056855536E-2</v>
      </c>
      <c r="F235">
        <v>0.2267007426533888</v>
      </c>
      <c r="G235">
        <v>0.23703484125869359</v>
      </c>
      <c r="H235">
        <v>8.5440378374584458E-2</v>
      </c>
      <c r="I235">
        <v>-7.8041942895392513E-2</v>
      </c>
      <c r="J235">
        <v>0.110867603852198</v>
      </c>
      <c r="K235">
        <v>-0.17895949399893291</v>
      </c>
      <c r="L235">
        <v>-0.10390522606100359</v>
      </c>
      <c r="M235">
        <v>6.6478821047470965E-2</v>
      </c>
      <c r="N235">
        <v>0.30280595855787501</v>
      </c>
      <c r="O235">
        <v>-0.16378659717231561</v>
      </c>
      <c r="P235">
        <v>-0.17521416386338251</v>
      </c>
      <c r="Q235">
        <v>-0.2182855503061808</v>
      </c>
      <c r="R235">
        <v>-5.8747543309883951E-2</v>
      </c>
      <c r="S235">
        <v>0.35708422197499179</v>
      </c>
      <c r="T235">
        <v>-0.13909397028507539</v>
      </c>
      <c r="U235">
        <v>-0.22518194695108759</v>
      </c>
      <c r="V235">
        <v>0.17537819233846941</v>
      </c>
      <c r="W235">
        <v>-5.7555111343193599E-3</v>
      </c>
      <c r="X235">
        <v>0.2080616744394595</v>
      </c>
      <c r="Y235">
        <v>0.1648220473724048</v>
      </c>
      <c r="Z235">
        <v>2.5672274535976349E-2</v>
      </c>
      <c r="AA235">
        <v>-0.26173189088539239</v>
      </c>
      <c r="AB235">
        <v>6.267264284412143E-3</v>
      </c>
      <c r="AC235">
        <v>-0.12398889727010701</v>
      </c>
      <c r="AD235">
        <v>-4.8428580586564282E-2</v>
      </c>
      <c r="AE235">
        <v>0.48058212042395643</v>
      </c>
      <c r="AF235">
        <v>-0.23032322994247839</v>
      </c>
      <c r="AG235">
        <v>-0.17837821315063471</v>
      </c>
      <c r="AH235">
        <v>-0.12517807071151699</v>
      </c>
      <c r="AI235">
        <v>7.1222960273692182E-2</v>
      </c>
      <c r="AJ235">
        <v>0.1173547516073853</v>
      </c>
      <c r="AK235">
        <v>-0.20306798300369719</v>
      </c>
      <c r="AL235">
        <v>0.17324122953469701</v>
      </c>
      <c r="AM235">
        <v>0.2414877593516383</v>
      </c>
      <c r="AN235">
        <v>7.8523273819045294E-2</v>
      </c>
      <c r="AO235">
        <v>-9.9308782469530829E-2</v>
      </c>
      <c r="AP235">
        <v>0.10016731860988071</v>
      </c>
      <c r="AQ235">
        <v>-0.1085153824068076</v>
      </c>
      <c r="AR235">
        <v>5.4979937985196403E-2</v>
      </c>
      <c r="AS235">
        <v>0.14558365830964859</v>
      </c>
      <c r="AT235">
        <v>0.14358352860021309</v>
      </c>
      <c r="AU235">
        <v>-4.3454793596183892E-2</v>
      </c>
      <c r="AV235">
        <v>4.4822828086481921E-2</v>
      </c>
      <c r="AW235">
        <v>1.8066700554201901E-2</v>
      </c>
      <c r="AX235">
        <v>0.243889479411696</v>
      </c>
    </row>
    <row r="236" spans="1:50" x14ac:dyDescent="0.25">
      <c r="A236">
        <v>0.19150969390189149</v>
      </c>
      <c r="B236">
        <v>-0.1009398991254126</v>
      </c>
      <c r="C236">
        <v>4.0441414849564086E-3</v>
      </c>
      <c r="D236">
        <v>-0.1159154602841866</v>
      </c>
      <c r="E236">
        <v>-6.226194806348892E-2</v>
      </c>
      <c r="F236">
        <v>-2.8568088910277908E-3</v>
      </c>
      <c r="G236">
        <v>0.1561739231137684</v>
      </c>
      <c r="H236">
        <v>6.8209825603656488E-2</v>
      </c>
      <c r="I236">
        <v>-6.5120552090337916E-2</v>
      </c>
      <c r="J236">
        <v>-2.4150519082088559E-3</v>
      </c>
      <c r="K236">
        <v>-0.23376847966251191</v>
      </c>
      <c r="L236">
        <v>-7.1742140282678668E-2</v>
      </c>
      <c r="M236">
        <v>-8.9450989467928493E-3</v>
      </c>
      <c r="N236">
        <v>3.0249209749032939E-2</v>
      </c>
      <c r="O236">
        <v>0.35565691633242308</v>
      </c>
      <c r="P236">
        <v>-1.60446512717385E-2</v>
      </c>
      <c r="Q236">
        <v>-6.8764123899953275E-2</v>
      </c>
      <c r="R236">
        <v>-4.289562740309609E-2</v>
      </c>
      <c r="S236">
        <v>1.6688643949136949E-2</v>
      </c>
      <c r="T236">
        <v>0.10188133749360161</v>
      </c>
      <c r="U236">
        <v>-6.3671402623791076E-2</v>
      </c>
      <c r="V236">
        <v>0.27580217788242078</v>
      </c>
      <c r="W236">
        <v>2.8516368335226059E-2</v>
      </c>
      <c r="X236">
        <v>-2.2920650725173061E-2</v>
      </c>
      <c r="Y236">
        <v>-2.7586335312974681E-2</v>
      </c>
      <c r="Z236">
        <v>-2.0792022038374481E-2</v>
      </c>
      <c r="AA236">
        <v>-8.4620227627700439E-2</v>
      </c>
      <c r="AB236">
        <v>-7.9263808676505426E-2</v>
      </c>
      <c r="AC236">
        <v>-4.4530715965205803E-2</v>
      </c>
      <c r="AD236">
        <v>3.1731700249550077E-2</v>
      </c>
      <c r="AE236">
        <v>-4.5004211963249122E-2</v>
      </c>
      <c r="AF236">
        <v>-0.109939382301567</v>
      </c>
      <c r="AG236">
        <v>0.21159287012907449</v>
      </c>
      <c r="AH236">
        <v>0.19349002921248809</v>
      </c>
      <c r="AI236">
        <v>2.808544933199407E-2</v>
      </c>
      <c r="AJ236">
        <v>9.822249577611028E-2</v>
      </c>
      <c r="AK236">
        <v>0.1003371850552925</v>
      </c>
      <c r="AL236">
        <v>0.17406228735806289</v>
      </c>
      <c r="AM236">
        <v>-8.4188505984579998E-2</v>
      </c>
      <c r="AN236">
        <v>4.3207512889581863E-2</v>
      </c>
      <c r="AO236">
        <v>8.6872201621623318E-2</v>
      </c>
      <c r="AP236">
        <v>-7.3982057209665553E-2</v>
      </c>
      <c r="AQ236">
        <v>9.8834877149845179E-2</v>
      </c>
      <c r="AR236">
        <v>-1.7701419745527771E-2</v>
      </c>
      <c r="AS236">
        <v>1.5727250656464891E-2</v>
      </c>
      <c r="AT236">
        <v>0.22733233664967989</v>
      </c>
      <c r="AU236">
        <v>-3.8871835494479513E-2</v>
      </c>
      <c r="AV236">
        <v>-0.1129653244752869</v>
      </c>
      <c r="AW236">
        <v>0.2228762628398169</v>
      </c>
      <c r="AX236">
        <v>-1.3768849655935301E-2</v>
      </c>
    </row>
    <row r="237" spans="1:50" x14ac:dyDescent="0.25">
      <c r="A237">
        <v>-7.0497016853896782E-2</v>
      </c>
      <c r="B237">
        <v>-0.10092542054301171</v>
      </c>
      <c r="C237">
        <v>-0.22370872826742089</v>
      </c>
      <c r="D237">
        <v>-2.238470119996059E-2</v>
      </c>
      <c r="E237">
        <v>0.14976617685073579</v>
      </c>
      <c r="F237">
        <v>0.124489822052765</v>
      </c>
      <c r="G237">
        <v>5.4879439516902682E-2</v>
      </c>
      <c r="H237">
        <v>-0.15341040431663111</v>
      </c>
      <c r="I237">
        <v>0.26187281209874319</v>
      </c>
      <c r="J237">
        <v>-9.9838149222967451E-2</v>
      </c>
      <c r="K237">
        <v>0.23236545347270701</v>
      </c>
      <c r="L237">
        <v>-5.837477997791966E-3</v>
      </c>
      <c r="M237">
        <v>-0.16611780289967801</v>
      </c>
      <c r="N237">
        <v>3.681451717914215E-2</v>
      </c>
      <c r="O237">
        <v>0.22393430432154321</v>
      </c>
      <c r="P237">
        <v>3.0764830313778632E-2</v>
      </c>
      <c r="Q237">
        <v>-4.1406311655244027E-2</v>
      </c>
      <c r="R237">
        <v>0.20077612092378919</v>
      </c>
      <c r="S237">
        <v>0.31181594912839111</v>
      </c>
      <c r="T237">
        <v>-9.9472068314550993E-2</v>
      </c>
      <c r="U237">
        <v>0.2168334513135666</v>
      </c>
      <c r="V237">
        <v>3.7296888948859977E-2</v>
      </c>
      <c r="W237">
        <v>0.1828405133132347</v>
      </c>
      <c r="X237">
        <v>-0.10772093805222969</v>
      </c>
      <c r="Y237">
        <v>0.1920571746596888</v>
      </c>
      <c r="Z237">
        <v>-0.1115678242694061</v>
      </c>
      <c r="AA237">
        <v>-0.1962377239242217</v>
      </c>
      <c r="AB237">
        <v>0.16072116659683189</v>
      </c>
      <c r="AC237">
        <v>-4.7692100985173388E-2</v>
      </c>
      <c r="AD237">
        <v>-0.18323281918129261</v>
      </c>
      <c r="AE237">
        <v>0.1112817844923909</v>
      </c>
      <c r="AF237">
        <v>0.10790067853650211</v>
      </c>
      <c r="AG237">
        <v>0.37649288966003353</v>
      </c>
      <c r="AH237">
        <v>-9.0017402220411769E-2</v>
      </c>
      <c r="AI237">
        <v>-1.8915295275766051E-2</v>
      </c>
      <c r="AJ237">
        <v>0.1184514883530121</v>
      </c>
      <c r="AK237">
        <v>-0.1147229463740623</v>
      </c>
      <c r="AL237">
        <v>-2.893978176927486E-2</v>
      </c>
      <c r="AM237">
        <v>0.13247269186164601</v>
      </c>
      <c r="AN237">
        <v>7.9168583426954223E-2</v>
      </c>
      <c r="AO237">
        <v>0.101641488979444</v>
      </c>
      <c r="AP237">
        <v>-6.3195398727402069E-2</v>
      </c>
      <c r="AQ237">
        <v>0.11344465478546011</v>
      </c>
      <c r="AR237">
        <v>0.1979260842403299</v>
      </c>
      <c r="AS237">
        <v>-0.1481895241250733</v>
      </c>
      <c r="AT237">
        <v>-7.9197037625760872E-2</v>
      </c>
      <c r="AU237">
        <v>0.1362920122269021</v>
      </c>
      <c r="AV237">
        <v>0.21466102371344781</v>
      </c>
      <c r="AW237">
        <v>-8.9382292251248815E-2</v>
      </c>
      <c r="AX237">
        <v>8.0749792716358501E-2</v>
      </c>
    </row>
    <row r="238" spans="1:50" x14ac:dyDescent="0.25">
      <c r="A238">
        <v>-9.1708564448881216E-2</v>
      </c>
      <c r="B238">
        <v>-3.7682951027091127E-2</v>
      </c>
      <c r="C238">
        <v>0.15510775238108179</v>
      </c>
      <c r="D238">
        <v>-4.1237417152000487E-2</v>
      </c>
      <c r="E238">
        <v>0.1207995664031339</v>
      </c>
      <c r="F238">
        <v>9.0272967745356786E-2</v>
      </c>
      <c r="G238">
        <v>9.8563536078099964E-2</v>
      </c>
      <c r="H238">
        <v>-6.1396441752830083E-3</v>
      </c>
      <c r="I238">
        <v>2.473716339464967E-2</v>
      </c>
      <c r="J238">
        <v>0.20170847341064549</v>
      </c>
      <c r="K238">
        <v>-8.2932601829481326E-2</v>
      </c>
      <c r="L238">
        <v>-0.1029029633165166</v>
      </c>
      <c r="M238">
        <v>-7.0177182248822606E-2</v>
      </c>
      <c r="N238">
        <v>0.1806381853884943</v>
      </c>
      <c r="O238">
        <v>0.1214540547352753</v>
      </c>
      <c r="P238">
        <v>0.1099937360138401</v>
      </c>
      <c r="Q238">
        <v>-8.9844304684918941E-2</v>
      </c>
      <c r="R238">
        <v>0.26951747753809041</v>
      </c>
      <c r="S238">
        <v>-0.1027707455292667</v>
      </c>
      <c r="T238">
        <v>0.14499420064011531</v>
      </c>
      <c r="U238">
        <v>8.8638627670429779E-3</v>
      </c>
      <c r="V238">
        <v>-6.1675077787226348E-2</v>
      </c>
      <c r="W238">
        <v>-7.8179649952275582E-2</v>
      </c>
      <c r="X238">
        <v>0.16832831266830109</v>
      </c>
      <c r="Y238">
        <v>3.2805306174401992E-2</v>
      </c>
      <c r="Z238">
        <v>8.3802939139492189E-2</v>
      </c>
      <c r="AA238">
        <v>3.3520611499510647E-2</v>
      </c>
      <c r="AB238">
        <v>-4.1080826947131693E-2</v>
      </c>
      <c r="AC238">
        <v>1.03176752969864E-3</v>
      </c>
      <c r="AD238">
        <v>0.1011194536098917</v>
      </c>
      <c r="AE238">
        <v>5.3585456390830163E-2</v>
      </c>
      <c r="AF238">
        <v>-0.1399221532898563</v>
      </c>
      <c r="AG238">
        <v>-7.1050078255777471E-2</v>
      </c>
      <c r="AH238">
        <v>3.9837575901492991E-2</v>
      </c>
      <c r="AI238">
        <v>6.924726747789986E-2</v>
      </c>
      <c r="AJ238">
        <v>-9.3972246472719373E-2</v>
      </c>
      <c r="AK238">
        <v>-6.492502426894127E-2</v>
      </c>
      <c r="AL238">
        <v>-6.2872028575326561E-2</v>
      </c>
      <c r="AM238">
        <v>-5.3958783939831022E-2</v>
      </c>
      <c r="AN238">
        <v>-2.9835212275787591E-2</v>
      </c>
      <c r="AO238">
        <v>-0.10419536640661239</v>
      </c>
      <c r="AP238">
        <v>1.999808807899596E-2</v>
      </c>
      <c r="AQ238">
        <v>-0.18082077340892089</v>
      </c>
      <c r="AR238">
        <v>-5.1763482050821569E-2</v>
      </c>
      <c r="AS238">
        <v>4.782484724652333E-3</v>
      </c>
      <c r="AT238">
        <v>-0.15068930107366299</v>
      </c>
      <c r="AU238">
        <v>3.6893870442263879E-3</v>
      </c>
      <c r="AV238">
        <v>-3.7421117946406998E-3</v>
      </c>
      <c r="AW238">
        <v>8.4941869254561334E-2</v>
      </c>
      <c r="AX238">
        <v>-1.769976722853641E-2</v>
      </c>
    </row>
    <row r="239" spans="1:50" x14ac:dyDescent="0.25">
      <c r="A239">
        <v>0.16703703815582019</v>
      </c>
      <c r="B239">
        <v>0.10360230112453241</v>
      </c>
      <c r="C239">
        <v>-0.1062031719871603</v>
      </c>
      <c r="D239">
        <v>-0.19278581676525289</v>
      </c>
      <c r="E239">
        <v>-7.9824786701864908E-2</v>
      </c>
      <c r="F239">
        <v>0.11804913382391059</v>
      </c>
      <c r="G239">
        <v>6.4066012544180734E-2</v>
      </c>
      <c r="H239">
        <v>-5.8678812968728643E-2</v>
      </c>
      <c r="I239">
        <v>-1.6987671520069789E-2</v>
      </c>
      <c r="J239">
        <v>-4.7025260411314419E-2</v>
      </c>
      <c r="K239">
        <v>4.8922292923925637E-2</v>
      </c>
      <c r="L239">
        <v>-2.0630707084857169E-3</v>
      </c>
      <c r="M239">
        <v>5.4073374832496177E-2</v>
      </c>
      <c r="N239">
        <v>0.179976750686793</v>
      </c>
      <c r="O239">
        <v>0.21446749378092211</v>
      </c>
      <c r="P239">
        <v>-0.106864263431919</v>
      </c>
      <c r="Q239">
        <v>0.1238827988271467</v>
      </c>
      <c r="R239">
        <v>-3.6574604086972759E-2</v>
      </c>
      <c r="S239">
        <v>-2.506708480019967E-2</v>
      </c>
      <c r="T239">
        <v>0.145879930510141</v>
      </c>
      <c r="U239">
        <v>0.12185873779222289</v>
      </c>
      <c r="V239">
        <v>-9.1121968752137641E-2</v>
      </c>
      <c r="W239">
        <v>-0.1066587756773615</v>
      </c>
      <c r="X239">
        <v>0.13800501531505421</v>
      </c>
      <c r="Y239">
        <v>-7.9312010958391445E-3</v>
      </c>
      <c r="Z239">
        <v>5.2312187569627078E-2</v>
      </c>
      <c r="AA239">
        <v>-2.4381628254870381E-2</v>
      </c>
      <c r="AB239">
        <v>6.1347742957437394E-3</v>
      </c>
      <c r="AC239">
        <v>-3.8505458423411167E-2</v>
      </c>
      <c r="AD239">
        <v>6.2539224167132484E-3</v>
      </c>
      <c r="AE239">
        <v>3.8097295887714131E-3</v>
      </c>
      <c r="AF239">
        <v>-5.3113399177245398E-2</v>
      </c>
      <c r="AG239">
        <v>-1.736899738573314E-2</v>
      </c>
      <c r="AH239">
        <v>-3.9217047550243078E-2</v>
      </c>
      <c r="AI239">
        <v>-2.1196978780753072E-2</v>
      </c>
      <c r="AJ239">
        <v>-0.10604842866306589</v>
      </c>
      <c r="AK239">
        <v>-1.9048338576508169E-2</v>
      </c>
      <c r="AL239">
        <v>0.1434485674716327</v>
      </c>
      <c r="AM239">
        <v>6.5365075218275656E-2</v>
      </c>
      <c r="AN239">
        <v>-2.858189711797695E-2</v>
      </c>
      <c r="AO239">
        <v>8.1548487420696814E-2</v>
      </c>
      <c r="AP239">
        <v>5.7386118645412307E-2</v>
      </c>
      <c r="AQ239">
        <v>6.0067087940937937E-2</v>
      </c>
      <c r="AR239">
        <v>0.19919479580795099</v>
      </c>
      <c r="AS239">
        <v>7.8090774830169019E-2</v>
      </c>
      <c r="AT239">
        <v>0.1656023450241739</v>
      </c>
      <c r="AU239">
        <v>0.16175701079603899</v>
      </c>
      <c r="AV239">
        <v>4.6177412559944807E-2</v>
      </c>
      <c r="AW239">
        <v>-2.3114043472449201E-4</v>
      </c>
      <c r="AX239">
        <v>0.1639249918812912</v>
      </c>
    </row>
    <row r="240" spans="1:50" x14ac:dyDescent="0.25">
      <c r="A240">
        <v>-0.23116381810436271</v>
      </c>
      <c r="B240">
        <v>0.46155374172375579</v>
      </c>
      <c r="C240">
        <v>-0.46596531448341338</v>
      </c>
      <c r="D240">
        <v>0.59082309396106736</v>
      </c>
      <c r="E240">
        <v>0.35822153707534188</v>
      </c>
      <c r="F240">
        <v>-0.32820852912700549</v>
      </c>
      <c r="G240">
        <v>-0.47955031335653481</v>
      </c>
      <c r="H240">
        <v>0.34332874834711891</v>
      </c>
      <c r="I240">
        <v>-0.96119612812740063</v>
      </c>
      <c r="J240">
        <v>7.0780765974494354E-3</v>
      </c>
      <c r="K240">
        <v>0.43561906306316323</v>
      </c>
      <c r="L240">
        <v>0.75639093128667212</v>
      </c>
      <c r="M240">
        <v>0.25820197808587553</v>
      </c>
      <c r="N240">
        <v>-1.012509474695259</v>
      </c>
      <c r="O240">
        <v>9.5433264151349284E-2</v>
      </c>
      <c r="P240">
        <v>-0.58691359372442919</v>
      </c>
      <c r="Q240">
        <v>0.73055678023192661</v>
      </c>
      <c r="R240">
        <v>-0.25962145359952948</v>
      </c>
      <c r="S240">
        <v>-1.0533816042633171</v>
      </c>
      <c r="T240">
        <v>-0.28723682078323493</v>
      </c>
      <c r="U240">
        <v>0.29703005287364909</v>
      </c>
      <c r="V240">
        <v>-0.77973303040827779</v>
      </c>
      <c r="W240">
        <v>-0.66531169997759498</v>
      </c>
      <c r="X240">
        <v>-0.93504253455718123</v>
      </c>
      <c r="Y240">
        <v>0.26426112395418699</v>
      </c>
      <c r="Z240">
        <v>1.0580716381168409</v>
      </c>
      <c r="AA240">
        <v>-0.137843766538498</v>
      </c>
      <c r="AB240">
        <v>1.1449055178697409</v>
      </c>
      <c r="AC240">
        <v>-0.34499690643328668</v>
      </c>
      <c r="AD240">
        <v>0.71161601647821127</v>
      </c>
      <c r="AE240">
        <v>-0.71530419583236171</v>
      </c>
      <c r="AF240">
        <v>-6.0975688205633944E-3</v>
      </c>
      <c r="AG240">
        <v>0.35029268477643938</v>
      </c>
      <c r="AH240">
        <v>-0.13854941349092281</v>
      </c>
      <c r="AI240">
        <v>-0.64568823993295554</v>
      </c>
      <c r="AJ240">
        <v>-0.51682480336484315</v>
      </c>
      <c r="AK240">
        <v>-0.26465436710061352</v>
      </c>
      <c r="AL240">
        <v>-0.20427420284161721</v>
      </c>
      <c r="AM240">
        <v>7.8479488408722639E-2</v>
      </c>
      <c r="AN240">
        <v>0.21045187815592081</v>
      </c>
      <c r="AO240">
        <v>0.18654257516053821</v>
      </c>
      <c r="AP240">
        <v>0.24354854651058289</v>
      </c>
      <c r="AQ240">
        <v>9.1108702067137434E-2</v>
      </c>
      <c r="AR240">
        <v>-0.55417978725784089</v>
      </c>
      <c r="AS240">
        <v>-0.2159009490711491</v>
      </c>
      <c r="AT240">
        <v>-0.2165875650086504</v>
      </c>
      <c r="AU240">
        <v>0.32683772384483167</v>
      </c>
      <c r="AV240">
        <v>-0.29841977134063208</v>
      </c>
      <c r="AW240">
        <v>2.7502409275049891E-2</v>
      </c>
      <c r="AX240">
        <v>-0.58938334833375561</v>
      </c>
    </row>
    <row r="241" spans="1:50" x14ac:dyDescent="0.25">
      <c r="A241">
        <v>0.37213877747409663</v>
      </c>
      <c r="B241">
        <v>-0.641486806035932</v>
      </c>
      <c r="C241">
        <v>0.31470354710145082</v>
      </c>
      <c r="D241">
        <v>-0.49054884728156622</v>
      </c>
      <c r="E241">
        <v>-0.27739299720240762</v>
      </c>
      <c r="F241">
        <v>0.49942037420313251</v>
      </c>
      <c r="G241">
        <v>0.50240377702914596</v>
      </c>
      <c r="H241">
        <v>-0.164901819322645</v>
      </c>
      <c r="I241">
        <v>0.95238437298413781</v>
      </c>
      <c r="J241">
        <v>0.18721933820190809</v>
      </c>
      <c r="K241">
        <v>-0.2354323755702307</v>
      </c>
      <c r="L241">
        <v>-0.71853604751300004</v>
      </c>
      <c r="M241">
        <v>-0.21489056502713599</v>
      </c>
      <c r="N241">
        <v>1.021800171392075</v>
      </c>
      <c r="O241">
        <v>-0.14764312370240379</v>
      </c>
      <c r="P241">
        <v>0.60305030374348734</v>
      </c>
      <c r="Q241">
        <v>-0.74162679523749953</v>
      </c>
      <c r="R241">
        <v>0.24628790444442639</v>
      </c>
      <c r="S241">
        <v>0.93075629213674094</v>
      </c>
      <c r="T241">
        <v>0.25055091680522401</v>
      </c>
      <c r="U241">
        <v>-0.40584375220350938</v>
      </c>
      <c r="V241">
        <v>0.75821264938837218</v>
      </c>
      <c r="W241">
        <v>0.71749980603370789</v>
      </c>
      <c r="X241">
        <v>1.0630325120371</v>
      </c>
      <c r="Y241">
        <v>-0.3522505165727996</v>
      </c>
      <c r="Z241">
        <v>-1.076306968470979</v>
      </c>
      <c r="AA241">
        <v>0.17871465608755621</v>
      </c>
      <c r="AB241">
        <v>-1.036320512386548</v>
      </c>
      <c r="AC241">
        <v>0.32677853842464982</v>
      </c>
      <c r="AD241">
        <v>-0.8018236639342059</v>
      </c>
      <c r="AE241">
        <v>0.63794769459170453</v>
      </c>
      <c r="AF241">
        <v>-0.13245256529387889</v>
      </c>
      <c r="AG241">
        <v>-0.28960477470832158</v>
      </c>
      <c r="AH241">
        <v>6.5271907671199211E-2</v>
      </c>
      <c r="AI241">
        <v>0.70306851088589672</v>
      </c>
      <c r="AJ241">
        <v>0.54405033822554227</v>
      </c>
      <c r="AK241">
        <v>0.16077864664045469</v>
      </c>
      <c r="AL241">
        <v>0.20966369345284341</v>
      </c>
      <c r="AM241">
        <v>-5.324813622869024E-3</v>
      </c>
      <c r="AN241">
        <v>-0.1769743959833012</v>
      </c>
      <c r="AO241">
        <v>-0.24536228864419049</v>
      </c>
      <c r="AP241">
        <v>-0.35035272869220108</v>
      </c>
      <c r="AQ241">
        <v>8.3139110965057827E-2</v>
      </c>
      <c r="AR241">
        <v>0.44494515823267228</v>
      </c>
      <c r="AS241">
        <v>0.36468969837120802</v>
      </c>
      <c r="AT241">
        <v>2.1294826338407381E-2</v>
      </c>
      <c r="AU241">
        <v>-0.27047344725952083</v>
      </c>
      <c r="AV241">
        <v>0.35878384911431949</v>
      </c>
      <c r="AW241">
        <v>0.12791245846586921</v>
      </c>
      <c r="AX241">
        <v>0.48479949022763569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1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244</v>
      </c>
    </row>
    <row r="2" spans="1:1" x14ac:dyDescent="0.25">
      <c r="A2">
        <v>-0.14118052188864269</v>
      </c>
    </row>
    <row r="3" spans="1:1" x14ac:dyDescent="0.25">
      <c r="A3">
        <v>-0.4426813984940422</v>
      </c>
    </row>
    <row r="4" spans="1:1" x14ac:dyDescent="0.25">
      <c r="A4">
        <v>-0.81495205575965068</v>
      </c>
    </row>
    <row r="5" spans="1:1" x14ac:dyDescent="0.25">
      <c r="A5">
        <v>-1.5424599620497501</v>
      </c>
    </row>
    <row r="6" spans="1:1" x14ac:dyDescent="0.25">
      <c r="A6">
        <v>-0.78273253477940496</v>
      </c>
    </row>
    <row r="7" spans="1:1" x14ac:dyDescent="0.25">
      <c r="A7">
        <v>-1.0120492305653479</v>
      </c>
    </row>
    <row r="8" spans="1:1" x14ac:dyDescent="0.25">
      <c r="A8">
        <v>-5.0658259824325542E-2</v>
      </c>
    </row>
    <row r="9" spans="1:1" x14ac:dyDescent="0.25">
      <c r="A9">
        <v>-0.42799580297572259</v>
      </c>
    </row>
    <row r="10" spans="1:1" x14ac:dyDescent="0.25">
      <c r="A10">
        <v>-0.88726132253928913</v>
      </c>
    </row>
    <row r="11" spans="1:1" x14ac:dyDescent="0.25">
      <c r="A11">
        <v>-1.8199013093266381</v>
      </c>
    </row>
    <row r="12" spans="1:1" x14ac:dyDescent="0.25">
      <c r="A12">
        <v>-1.5683678866650059</v>
      </c>
    </row>
    <row r="13" spans="1:1" x14ac:dyDescent="0.25">
      <c r="A13">
        <v>-0.8810245455198894</v>
      </c>
    </row>
    <row r="14" spans="1:1" x14ac:dyDescent="0.25">
      <c r="A14">
        <v>-0.40105702280801031</v>
      </c>
    </row>
    <row r="15" spans="1:1" x14ac:dyDescent="0.25">
      <c r="A15">
        <v>-0.90860274486373105</v>
      </c>
    </row>
    <row r="16" spans="1:1" x14ac:dyDescent="0.25">
      <c r="A16">
        <v>-1.53182520669385</v>
      </c>
    </row>
    <row r="17" spans="1:1" x14ac:dyDescent="0.25">
      <c r="A17">
        <v>-0.64030674239673346</v>
      </c>
    </row>
    <row r="18" spans="1:1" x14ac:dyDescent="0.25">
      <c r="A18">
        <v>-1.4165207454091151</v>
      </c>
    </row>
    <row r="19" spans="1:1" x14ac:dyDescent="0.25">
      <c r="A19">
        <v>-1.547092468060284</v>
      </c>
    </row>
    <row r="20" spans="1:1" x14ac:dyDescent="0.25">
      <c r="A20">
        <v>-1.477813035237695</v>
      </c>
    </row>
    <row r="21" spans="1:1" x14ac:dyDescent="0.25">
      <c r="A21">
        <v>-0.80626958148567085</v>
      </c>
    </row>
    <row r="22" spans="1:1" x14ac:dyDescent="0.25">
      <c r="A22">
        <v>-1.0149440239508321</v>
      </c>
    </row>
    <row r="23" spans="1:1" x14ac:dyDescent="0.25">
      <c r="A23">
        <v>-1.621417097156604</v>
      </c>
    </row>
    <row r="24" spans="1:1" x14ac:dyDescent="0.25">
      <c r="A24">
        <v>-1.2912055066477359</v>
      </c>
    </row>
    <row r="25" spans="1:1" x14ac:dyDescent="0.25">
      <c r="A25">
        <v>-0.53779968927241018</v>
      </c>
    </row>
    <row r="26" spans="1:1" x14ac:dyDescent="0.25">
      <c r="A26">
        <v>-1.946979656752144</v>
      </c>
    </row>
    <row r="27" spans="1:1" x14ac:dyDescent="0.25">
      <c r="A27">
        <v>-2.402122249585493</v>
      </c>
    </row>
    <row r="28" spans="1:1" x14ac:dyDescent="0.25">
      <c r="A28">
        <v>-1.2478981243053091</v>
      </c>
    </row>
    <row r="29" spans="1:1" x14ac:dyDescent="0.25">
      <c r="A29">
        <v>2.7472598202122531E-2</v>
      </c>
    </row>
    <row r="30" spans="1:1" x14ac:dyDescent="0.25">
      <c r="A30">
        <v>-0.22237945080141061</v>
      </c>
    </row>
    <row r="31" spans="1:1" x14ac:dyDescent="0.25">
      <c r="A31">
        <v>-0.70757855014054782</v>
      </c>
    </row>
    <row r="32" spans="1:1" x14ac:dyDescent="0.25">
      <c r="A32">
        <v>-0.77839469119384552</v>
      </c>
    </row>
    <row r="33" spans="1:1" x14ac:dyDescent="0.25">
      <c r="A33">
        <v>-1.20769410678357</v>
      </c>
    </row>
    <row r="34" spans="1:1" x14ac:dyDescent="0.25">
      <c r="A34">
        <v>-1.3413827781373411</v>
      </c>
    </row>
    <row r="35" spans="1:1" x14ac:dyDescent="0.25">
      <c r="A35">
        <v>-1.126190220061001</v>
      </c>
    </row>
    <row r="36" spans="1:1" x14ac:dyDescent="0.25">
      <c r="A36">
        <v>-1.0783144529864139</v>
      </c>
    </row>
    <row r="37" spans="1:1" x14ac:dyDescent="0.25">
      <c r="A37">
        <v>-1.422971572690525</v>
      </c>
    </row>
    <row r="38" spans="1:1" x14ac:dyDescent="0.25">
      <c r="A38">
        <v>-0.30327895649366932</v>
      </c>
    </row>
    <row r="39" spans="1:1" x14ac:dyDescent="0.25">
      <c r="A39">
        <v>-1.2007863221211419</v>
      </c>
    </row>
    <row r="40" spans="1:1" x14ac:dyDescent="0.25">
      <c r="A40">
        <v>-0.93590951089457486</v>
      </c>
    </row>
    <row r="41" spans="1:1" x14ac:dyDescent="0.25">
      <c r="A41">
        <v>-0.98993188993044734</v>
      </c>
    </row>
    <row r="42" spans="1:1" x14ac:dyDescent="0.25">
      <c r="A42">
        <v>-1.1111920973819429</v>
      </c>
    </row>
    <row r="43" spans="1:1" x14ac:dyDescent="0.25">
      <c r="A43">
        <v>-0.21392604940076951</v>
      </c>
    </row>
    <row r="44" spans="1:1" x14ac:dyDescent="0.25">
      <c r="A44">
        <v>-1.556060472468777</v>
      </c>
    </row>
    <row r="45" spans="1:1" x14ac:dyDescent="0.25">
      <c r="A45">
        <v>-1.161177186254549</v>
      </c>
    </row>
    <row r="46" spans="1:1" x14ac:dyDescent="0.25">
      <c r="A46">
        <v>-0.30494492681827051</v>
      </c>
    </row>
    <row r="47" spans="1:1" x14ac:dyDescent="0.25">
      <c r="A47">
        <v>-0.53804997901677964</v>
      </c>
    </row>
    <row r="48" spans="1:1" x14ac:dyDescent="0.25">
      <c r="A48">
        <v>-1.1904467166251971</v>
      </c>
    </row>
    <row r="49" spans="1:1" x14ac:dyDescent="0.25">
      <c r="A49">
        <v>-1.017482809126965</v>
      </c>
    </row>
    <row r="50" spans="1:1" x14ac:dyDescent="0.25">
      <c r="A50">
        <v>-1.3102601333368249</v>
      </c>
    </row>
    <row r="51" spans="1:1" x14ac:dyDescent="0.25">
      <c r="A51">
        <v>-0.87882424132204762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"/>
  <sheetViews>
    <sheetView workbookViewId="0"/>
  </sheetViews>
  <sheetFormatPr baseColWidth="10" defaultColWidth="9.140625" defaultRowHeight="15" x14ac:dyDescent="0.25"/>
  <sheetData>
    <row r="1" spans="1:10" x14ac:dyDescent="0.25">
      <c r="A1">
        <v>-0.32722506638694498</v>
      </c>
      <c r="B1">
        <v>-6.2394542337265137E-2</v>
      </c>
      <c r="C1">
        <v>0.1160711617417764</v>
      </c>
      <c r="D1">
        <v>0.1042641303392875</v>
      </c>
      <c r="E1">
        <v>9.301990612994461E-2</v>
      </c>
      <c r="F1">
        <v>0.3644395040529525</v>
      </c>
      <c r="G1">
        <v>-0.49707429942383891</v>
      </c>
      <c r="H1">
        <v>-4.9905533544968843E-2</v>
      </c>
      <c r="I1">
        <v>-3.5398538067790232E-2</v>
      </c>
      <c r="J1">
        <v>-0.49424279805263838</v>
      </c>
    </row>
    <row r="2" spans="1:10" x14ac:dyDescent="0.25">
      <c r="A2">
        <v>-0.16929436681375709</v>
      </c>
      <c r="B2">
        <v>0.11473744398162319</v>
      </c>
      <c r="C2">
        <v>-8.8877628717428214E-2</v>
      </c>
      <c r="D2">
        <v>-4.7024816012643253E-3</v>
      </c>
      <c r="E2">
        <v>0.27322442855182028</v>
      </c>
      <c r="F2">
        <v>-0.15243938781105171</v>
      </c>
      <c r="G2">
        <v>0.18717441787623709</v>
      </c>
      <c r="H2">
        <v>0.1867877989195276</v>
      </c>
      <c r="I2">
        <v>0.27310026613322369</v>
      </c>
      <c r="J2">
        <v>-8.7156239914041641E-3</v>
      </c>
    </row>
    <row r="3" spans="1:10" x14ac:dyDescent="0.25">
      <c r="A3">
        <v>-0.88121218508732313</v>
      </c>
      <c r="B3">
        <v>0.1033552426254228</v>
      </c>
      <c r="C3">
        <v>0.2083271580895531</v>
      </c>
      <c r="D3">
        <v>4.2691260301860351E-2</v>
      </c>
      <c r="E3">
        <v>-0.10624259166465309</v>
      </c>
      <c r="F3">
        <v>0.29288037378081039</v>
      </c>
      <c r="G3">
        <v>-0.26767349752104508</v>
      </c>
      <c r="H3">
        <v>0.17212371050888811</v>
      </c>
      <c r="I3">
        <v>0.1874492826401406</v>
      </c>
      <c r="J3">
        <v>7.2816959478045284E-2</v>
      </c>
    </row>
    <row r="4" spans="1:10" x14ac:dyDescent="0.25">
      <c r="A4">
        <v>7.8468917497312954E-2</v>
      </c>
      <c r="B4">
        <v>-0.20916730803827921</v>
      </c>
      <c r="C4">
        <v>4.296383918850142E-2</v>
      </c>
      <c r="D4">
        <v>-0.48008625259704901</v>
      </c>
      <c r="E4">
        <v>-0.15999698517224609</v>
      </c>
      <c r="F4">
        <v>-0.39367193276394119</v>
      </c>
      <c r="G4">
        <v>1.6512695419214969E-2</v>
      </c>
      <c r="H4">
        <v>0.18697675525172849</v>
      </c>
      <c r="I4">
        <v>-0.22622636003403129</v>
      </c>
      <c r="J4">
        <v>-5.3221370318348338E-2</v>
      </c>
    </row>
    <row r="5" spans="1:10" x14ac:dyDescent="0.25">
      <c r="A5">
        <v>-2.2828364281151991E-2</v>
      </c>
      <c r="B5">
        <v>0.22310526163452329</v>
      </c>
      <c r="C5">
        <v>0.15723624107822651</v>
      </c>
      <c r="D5">
        <v>-0.3293319660384445</v>
      </c>
      <c r="E5">
        <v>6.2122954352240099E-2</v>
      </c>
      <c r="F5">
        <v>5.0186978608715593E-4</v>
      </c>
      <c r="G5">
        <v>-0.27626229947938191</v>
      </c>
      <c r="H5">
        <v>-0.24850947159318801</v>
      </c>
      <c r="I5">
        <v>-0.1179334668169299</v>
      </c>
      <c r="J5">
        <v>-0.34373260941265371</v>
      </c>
    </row>
    <row r="6" spans="1:10" x14ac:dyDescent="0.25">
      <c r="A6">
        <v>1.8911583030967911E-2</v>
      </c>
      <c r="B6">
        <v>7.7919450023578349E-2</v>
      </c>
      <c r="C6">
        <v>-0.30131547376800749</v>
      </c>
      <c r="D6">
        <v>5.215005362295199E-2</v>
      </c>
      <c r="E6">
        <v>6.8578694449702382E-2</v>
      </c>
      <c r="F6">
        <v>3.097500662515244E-3</v>
      </c>
      <c r="G6">
        <v>-0.30921349922243241</v>
      </c>
      <c r="H6">
        <v>-0.32118301800907922</v>
      </c>
      <c r="I6">
        <v>-3.3628569420850497E-2</v>
      </c>
      <c r="J6">
        <v>-2.9755934971517579E-2</v>
      </c>
    </row>
    <row r="7" spans="1:10" x14ac:dyDescent="0.25">
      <c r="A7">
        <v>-0.56343468935682972</v>
      </c>
      <c r="B7">
        <v>7.3837694992276469E-4</v>
      </c>
      <c r="C7">
        <v>9.8367247806221983E-2</v>
      </c>
      <c r="D7">
        <v>-0.50764627509235449</v>
      </c>
      <c r="E7">
        <v>-1.894960088713369E-2</v>
      </c>
      <c r="F7">
        <v>0.17153095091499301</v>
      </c>
      <c r="G7">
        <v>-1.7022784520396451E-3</v>
      </c>
      <c r="H7">
        <v>0.35868914766007592</v>
      </c>
      <c r="I7">
        <v>-0.1232574735959116</v>
      </c>
      <c r="J7">
        <v>-0.2257570955280942</v>
      </c>
    </row>
    <row r="8" spans="1:10" x14ac:dyDescent="0.25">
      <c r="A8">
        <v>-0.43247038563227908</v>
      </c>
      <c r="B8">
        <v>0.14310028330896421</v>
      </c>
      <c r="C8">
        <v>-0.10608453952791171</v>
      </c>
      <c r="D8">
        <v>0.22234998262763689</v>
      </c>
      <c r="E8">
        <v>0.17440116056212041</v>
      </c>
      <c r="F8">
        <v>0.24342607303523089</v>
      </c>
      <c r="G8">
        <v>-1.0227069604064249</v>
      </c>
      <c r="H8">
        <v>-3.1174592853173609E-2</v>
      </c>
      <c r="I8">
        <v>0.10114387388008519</v>
      </c>
      <c r="J8">
        <v>-8.8160914136067983E-2</v>
      </c>
    </row>
    <row r="9" spans="1:10" x14ac:dyDescent="0.25">
      <c r="A9">
        <v>-0.31128733851862928</v>
      </c>
      <c r="B9">
        <v>0.19467376426311869</v>
      </c>
      <c r="C9">
        <v>8.8084362711506339E-2</v>
      </c>
      <c r="D9">
        <v>0.35321628404836902</v>
      </c>
      <c r="E9">
        <v>-0.26734383950019969</v>
      </c>
      <c r="F9">
        <v>5.9929729413625822E-2</v>
      </c>
      <c r="G9">
        <v>9.4889534941096407E-2</v>
      </c>
      <c r="H9">
        <v>-7.4642060635433993E-2</v>
      </c>
      <c r="I9">
        <v>6.3137540320205937E-2</v>
      </c>
      <c r="J9">
        <v>-0.13482179009450229</v>
      </c>
    </row>
    <row r="10" spans="1:10" x14ac:dyDescent="0.25">
      <c r="A10">
        <v>0.14560203806772251</v>
      </c>
      <c r="B10">
        <v>-0.1220836462981166</v>
      </c>
      <c r="C10">
        <v>-3.7874290746697588E-3</v>
      </c>
      <c r="D10">
        <v>9.3176678311949146E-2</v>
      </c>
      <c r="E10">
        <v>6.3682033386496459E-2</v>
      </c>
      <c r="F10">
        <v>3.1596966751351679E-2</v>
      </c>
      <c r="G10">
        <v>-3.224827634691619E-2</v>
      </c>
      <c r="H10">
        <v>-0.57675843944079963</v>
      </c>
      <c r="I10">
        <v>-9.4041980063359717E-2</v>
      </c>
      <c r="J10">
        <v>8.4477560219626768E-2</v>
      </c>
    </row>
    <row r="11" spans="1:10" x14ac:dyDescent="0.25">
      <c r="A11">
        <v>-8.6751760823355339E-2</v>
      </c>
      <c r="B11">
        <v>9.9406520665769535E-2</v>
      </c>
      <c r="C11">
        <v>-0.27734482517415382</v>
      </c>
      <c r="D11">
        <v>0.19158137141894549</v>
      </c>
      <c r="E11">
        <v>-6.1738284445024046E-3</v>
      </c>
      <c r="F11">
        <v>-0.43611543107034401</v>
      </c>
      <c r="G11">
        <v>0.14634120958991001</v>
      </c>
      <c r="H11">
        <v>-0.25094112743767921</v>
      </c>
      <c r="I11">
        <v>-5.5775013504512153E-2</v>
      </c>
      <c r="J11">
        <v>-0.35992067929515542</v>
      </c>
    </row>
    <row r="12" spans="1:10" x14ac:dyDescent="0.25">
      <c r="A12">
        <v>-0.20532584153489811</v>
      </c>
      <c r="B12">
        <v>7.2405514534005913E-2</v>
      </c>
      <c r="C12">
        <v>0.21542739743708231</v>
      </c>
      <c r="D12">
        <v>0.30076521749508661</v>
      </c>
      <c r="E12">
        <v>7.7398603695520651E-2</v>
      </c>
      <c r="F12">
        <v>0.16534639496421691</v>
      </c>
      <c r="G12">
        <v>0.26656613773954019</v>
      </c>
      <c r="H12">
        <v>0.15624516609826461</v>
      </c>
      <c r="I12">
        <v>-0.27038075367245568</v>
      </c>
      <c r="J12">
        <v>-0.52154591092177649</v>
      </c>
    </row>
    <row r="13" spans="1:10" x14ac:dyDescent="0.25">
      <c r="A13">
        <v>-0.5413834617378066</v>
      </c>
      <c r="B13">
        <v>-0.15305391696390991</v>
      </c>
      <c r="C13">
        <v>-3.9229002034101693E-2</v>
      </c>
      <c r="D13">
        <v>-0.13206849111787211</v>
      </c>
      <c r="E13">
        <v>0.11894591705670619</v>
      </c>
      <c r="F13">
        <v>0.22244187420289571</v>
      </c>
      <c r="G13">
        <v>-0.56872942416540517</v>
      </c>
      <c r="H13">
        <v>-0.2273630882093586</v>
      </c>
      <c r="I13">
        <v>0.17507067522237801</v>
      </c>
      <c r="J13">
        <v>0.14874734984054561</v>
      </c>
    </row>
    <row r="14" spans="1:10" x14ac:dyDescent="0.25">
      <c r="A14">
        <v>0.18975451632302759</v>
      </c>
      <c r="B14">
        <v>0.15080760833353521</v>
      </c>
      <c r="C14">
        <v>-4.4614546264302161E-2</v>
      </c>
      <c r="D14">
        <v>-0.65240972504338057</v>
      </c>
      <c r="E14">
        <v>0.1763382201958712</v>
      </c>
      <c r="F14">
        <v>0.27781940137178812</v>
      </c>
      <c r="G14">
        <v>-6.9477856430683826E-2</v>
      </c>
      <c r="H14">
        <v>2.2978627269240728E-2</v>
      </c>
      <c r="I14">
        <v>-0.12650418586669579</v>
      </c>
      <c r="J14">
        <v>8.5476076163505624E-2</v>
      </c>
    </row>
    <row r="15" spans="1:10" x14ac:dyDescent="0.25">
      <c r="A15">
        <v>-0.16085029447718829</v>
      </c>
      <c r="B15">
        <v>-5.9850339765102019E-2</v>
      </c>
      <c r="C15">
        <v>-8.639950195082324E-3</v>
      </c>
      <c r="D15">
        <v>0.18560991134640409</v>
      </c>
      <c r="E15">
        <v>-4.3459594930051221E-2</v>
      </c>
      <c r="F15">
        <v>-0.31891369615141152</v>
      </c>
      <c r="G15">
        <v>-0.72423683153760043</v>
      </c>
      <c r="H15">
        <v>-0.52351549525552898</v>
      </c>
      <c r="I15">
        <v>-0.12972221397746761</v>
      </c>
      <c r="J15">
        <v>0.1525193979098427</v>
      </c>
    </row>
    <row r="16" spans="1:10" x14ac:dyDescent="0.25">
      <c r="A16">
        <v>5.7196378431956102E-3</v>
      </c>
      <c r="B16">
        <v>-0.1115996463745223</v>
      </c>
      <c r="C16">
        <v>0.21591278042351711</v>
      </c>
      <c r="D16">
        <v>-0.74921791572098539</v>
      </c>
      <c r="E16">
        <v>0.30454190689390909</v>
      </c>
      <c r="F16">
        <v>0.1120925198963733</v>
      </c>
      <c r="G16">
        <v>-4.9952249421516839E-2</v>
      </c>
      <c r="H16">
        <v>5.7424459563173103E-2</v>
      </c>
      <c r="I16">
        <v>0.28299966452518299</v>
      </c>
      <c r="J16">
        <v>0.29648200465991947</v>
      </c>
    </row>
    <row r="17" spans="1:10" x14ac:dyDescent="0.25">
      <c r="A17">
        <v>-0.12013856901748129</v>
      </c>
      <c r="B17">
        <v>-0.17784422772195141</v>
      </c>
      <c r="C17">
        <v>8.2681967686580995E-2</v>
      </c>
      <c r="D17">
        <v>-1.283697282818115</v>
      </c>
      <c r="E17">
        <v>0.2874681121254814</v>
      </c>
      <c r="F17">
        <v>-0.109695644731372</v>
      </c>
      <c r="G17">
        <v>-0.18923646532803981</v>
      </c>
      <c r="H17">
        <v>0.13241334399229479</v>
      </c>
      <c r="I17">
        <v>0.15859560601464309</v>
      </c>
      <c r="J17">
        <v>8.8353512825281671E-2</v>
      </c>
    </row>
    <row r="18" spans="1:10" x14ac:dyDescent="0.25">
      <c r="A18">
        <v>1.308394308650597E-2</v>
      </c>
      <c r="B18">
        <v>-0.49735698018457802</v>
      </c>
      <c r="C18">
        <v>7.6922905212926718E-2</v>
      </c>
      <c r="D18">
        <v>0.29366688317492362</v>
      </c>
      <c r="E18">
        <v>4.722164825857695E-2</v>
      </c>
      <c r="F18">
        <v>-0.16890671352839751</v>
      </c>
      <c r="G18">
        <v>0.16805812708658199</v>
      </c>
      <c r="H18">
        <v>0.16077429568969531</v>
      </c>
      <c r="I18">
        <v>0.1664312083697102</v>
      </c>
      <c r="J18">
        <v>-0.26161770275164331</v>
      </c>
    </row>
    <row r="19" spans="1:10" x14ac:dyDescent="0.25">
      <c r="A19">
        <v>-0.63441406894465924</v>
      </c>
      <c r="B19">
        <v>7.9707488838383522E-2</v>
      </c>
      <c r="C19">
        <v>-9.0140890407238328E-2</v>
      </c>
      <c r="D19">
        <v>0.149914851929871</v>
      </c>
      <c r="E19">
        <v>1.145742409118568E-2</v>
      </c>
      <c r="F19">
        <v>0.29816220816654743</v>
      </c>
      <c r="G19">
        <v>5.7897560787564847E-2</v>
      </c>
      <c r="H19">
        <v>-0.39205588409453962</v>
      </c>
      <c r="I19">
        <v>-0.21137978678199509</v>
      </c>
      <c r="J19">
        <v>-0.37258914536673171</v>
      </c>
    </row>
    <row r="20" spans="1:10" x14ac:dyDescent="0.25">
      <c r="A20">
        <v>-1.2157639974492049E-2</v>
      </c>
      <c r="B20">
        <v>-4.4866531972702392E-2</v>
      </c>
      <c r="C20">
        <v>8.8758215443802801E-2</v>
      </c>
      <c r="D20">
        <v>-1.4677128985419461</v>
      </c>
      <c r="E20">
        <v>3.0232644800208579E-2</v>
      </c>
      <c r="F20">
        <v>0.2184861176628167</v>
      </c>
      <c r="G20">
        <v>9.4119360674570787E-2</v>
      </c>
      <c r="H20">
        <v>6.1032915818749332E-2</v>
      </c>
      <c r="I20">
        <v>-0.15981275816751489</v>
      </c>
      <c r="J20">
        <v>0.23682092996370541</v>
      </c>
    </row>
    <row r="21" spans="1:10" x14ac:dyDescent="0.25">
      <c r="A21">
        <v>-0.52561240141587118</v>
      </c>
      <c r="B21">
        <v>7.1806464717837689E-3</v>
      </c>
      <c r="C21">
        <v>-2.4324206012023231E-2</v>
      </c>
      <c r="D21">
        <v>0.2578166022525194</v>
      </c>
      <c r="E21">
        <v>0.2201754700631364</v>
      </c>
      <c r="F21">
        <v>-0.20188008697752749</v>
      </c>
      <c r="G21">
        <v>0.35988683180625081</v>
      </c>
      <c r="H21">
        <v>0.23756863014240101</v>
      </c>
      <c r="I21">
        <v>4.826084367924819E-2</v>
      </c>
      <c r="J21">
        <v>9.4805716028311907E-2</v>
      </c>
    </row>
    <row r="22" spans="1:10" x14ac:dyDescent="0.25">
      <c r="A22">
        <v>-3.0064201578822121E-2</v>
      </c>
      <c r="B22">
        <v>2.4440289035254321E-2</v>
      </c>
      <c r="C22">
        <v>-0.1333796258998953</v>
      </c>
      <c r="D22">
        <v>-0.16290235725123209</v>
      </c>
      <c r="E22">
        <v>0.18374141444857681</v>
      </c>
      <c r="F22">
        <v>-0.17808109835936181</v>
      </c>
      <c r="G22">
        <v>0.1033729053526935</v>
      </c>
      <c r="H22">
        <v>-4.9088010989708331E-2</v>
      </c>
      <c r="I22">
        <v>-0.2103535557444699</v>
      </c>
      <c r="J22">
        <v>0.28736943207564009</v>
      </c>
    </row>
    <row r="23" spans="1:10" x14ac:dyDescent="0.25">
      <c r="A23">
        <v>-0.35338771715197631</v>
      </c>
      <c r="B23">
        <v>7.166643971601637E-2</v>
      </c>
      <c r="C23">
        <v>-3.8645632785080167E-2</v>
      </c>
      <c r="D23">
        <v>0.146468902179201</v>
      </c>
      <c r="E23">
        <v>9.2245464882072178E-3</v>
      </c>
      <c r="F23">
        <v>0.1028151355683156</v>
      </c>
      <c r="G23">
        <v>3.3968808613229512E-2</v>
      </c>
      <c r="H23">
        <v>-0.44901430675538623</v>
      </c>
      <c r="I23">
        <v>0.1492109774760188</v>
      </c>
      <c r="J23">
        <v>-0.20093825210838021</v>
      </c>
    </row>
    <row r="24" spans="1:10" x14ac:dyDescent="0.25">
      <c r="A24">
        <v>-0.1619997782481046</v>
      </c>
      <c r="B24">
        <v>0.27662861512382481</v>
      </c>
      <c r="C24">
        <v>0.22044124049894581</v>
      </c>
      <c r="D24">
        <v>0.55273946408731012</v>
      </c>
      <c r="E24">
        <v>-5.8369532800980409E-2</v>
      </c>
      <c r="F24">
        <v>-1.0443287186511699E-2</v>
      </c>
      <c r="G24">
        <v>-1.027948821103887</v>
      </c>
      <c r="H24">
        <v>0.1204469465305297</v>
      </c>
      <c r="I24">
        <v>0.19037398079247461</v>
      </c>
      <c r="J24">
        <v>-0.38552705774693569</v>
      </c>
    </row>
    <row r="25" spans="1:10" x14ac:dyDescent="0.25">
      <c r="A25">
        <v>-0.31714900240204291</v>
      </c>
      <c r="B25">
        <v>-0.15658367285366781</v>
      </c>
      <c r="C25">
        <v>-6.8321655920183411E-2</v>
      </c>
      <c r="D25">
        <v>-0.28459335244014322</v>
      </c>
      <c r="E25">
        <v>0.16961511424390779</v>
      </c>
      <c r="F25">
        <v>0.18849134340032159</v>
      </c>
      <c r="G25">
        <v>-0.2407003641791195</v>
      </c>
      <c r="H25">
        <v>0.33619298639066397</v>
      </c>
      <c r="I25">
        <v>-0.30777009905310199</v>
      </c>
      <c r="J25">
        <v>-1.247613458925636</v>
      </c>
    </row>
    <row r="26" spans="1:10" x14ac:dyDescent="0.25">
      <c r="A26">
        <v>-0.19000380323306559</v>
      </c>
      <c r="B26">
        <v>5.9248650026331659E-2</v>
      </c>
      <c r="C26">
        <v>-0.41195356582900389</v>
      </c>
      <c r="D26">
        <v>-0.16438060391350279</v>
      </c>
      <c r="E26">
        <v>0.13516807153160601</v>
      </c>
      <c r="F26">
        <v>0.1623469393534217</v>
      </c>
      <c r="G26">
        <v>5.244472998066186E-2</v>
      </c>
      <c r="H26">
        <v>0.39843593442633413</v>
      </c>
      <c r="I26">
        <v>-0.55588483440396064</v>
      </c>
      <c r="J26">
        <v>-0.19008952977743829</v>
      </c>
    </row>
    <row r="27" spans="1:10" x14ac:dyDescent="0.25">
      <c r="A27">
        <v>0.38539800235688609</v>
      </c>
      <c r="B27">
        <v>-0.24231582863006021</v>
      </c>
      <c r="C27">
        <v>-1.488658623147312E-2</v>
      </c>
      <c r="D27">
        <v>1.784688071748142E-2</v>
      </c>
      <c r="E27">
        <v>5.8667565561283747E-2</v>
      </c>
      <c r="F27">
        <v>-0.31891685367217282</v>
      </c>
      <c r="G27">
        <v>0.26462785577522868</v>
      </c>
      <c r="H27">
        <v>-7.6473486222352602E-2</v>
      </c>
      <c r="I27">
        <v>-0.11090462545599319</v>
      </c>
      <c r="J27">
        <v>0.45460206494478878</v>
      </c>
    </row>
    <row r="28" spans="1:10" x14ac:dyDescent="0.25">
      <c r="A28">
        <v>-1.0200138378724719</v>
      </c>
      <c r="B28">
        <v>-0.30675145782543212</v>
      </c>
      <c r="C28">
        <v>-2.2310352053369498E-3</v>
      </c>
      <c r="D28">
        <v>-0.29568419394859019</v>
      </c>
      <c r="E28">
        <v>0.21604917547280181</v>
      </c>
      <c r="F28">
        <v>0.2718145892772667</v>
      </c>
      <c r="G28">
        <v>-6.4626829257543122E-2</v>
      </c>
      <c r="H28">
        <v>0.1538507056417095</v>
      </c>
      <c r="I28">
        <v>0.18160902745695351</v>
      </c>
      <c r="J28">
        <v>0.33592895696214231</v>
      </c>
    </row>
    <row r="29" spans="1:10" x14ac:dyDescent="0.25">
      <c r="A29">
        <v>0.30200109846484552</v>
      </c>
      <c r="B29">
        <v>-0.36077573999686852</v>
      </c>
      <c r="C29">
        <v>1.300004261682112E-2</v>
      </c>
      <c r="D29">
        <v>0.2011407797845261</v>
      </c>
      <c r="E29">
        <v>0.14681885008011711</v>
      </c>
      <c r="F29">
        <v>-0.11235879366677309</v>
      </c>
      <c r="G29">
        <v>-4.4727107772399438E-2</v>
      </c>
      <c r="H29">
        <v>-8.6137986713121437E-3</v>
      </c>
      <c r="I29">
        <v>0.2080272795228944</v>
      </c>
      <c r="J29">
        <v>-1.437341287736258E-2</v>
      </c>
    </row>
    <row r="30" spans="1:10" x14ac:dyDescent="0.25">
      <c r="A30">
        <v>0.27164107492896078</v>
      </c>
      <c r="B30">
        <v>0.31754422526447479</v>
      </c>
      <c r="C30">
        <v>0.1976266986155652</v>
      </c>
      <c r="D30">
        <v>0.30984749295494579</v>
      </c>
      <c r="E30">
        <v>0.14825509090712971</v>
      </c>
      <c r="F30">
        <v>-0.19065570637849669</v>
      </c>
      <c r="G30">
        <v>-2.5862421998454552E-3</v>
      </c>
      <c r="H30">
        <v>-6.8262494500899731E-2</v>
      </c>
      <c r="I30">
        <v>-1.0047066351976421E-2</v>
      </c>
      <c r="J30">
        <v>-0.34341765205786118</v>
      </c>
    </row>
    <row r="31" spans="1:10" x14ac:dyDescent="0.25">
      <c r="A31">
        <v>0.39892529345831163</v>
      </c>
      <c r="B31">
        <v>-9.7825336977710384E-2</v>
      </c>
      <c r="C31">
        <v>7.5018689899224097E-2</v>
      </c>
      <c r="D31">
        <v>8.9404115546065879E-2</v>
      </c>
      <c r="E31">
        <v>0.24380336834830671</v>
      </c>
      <c r="F31">
        <v>-0.1449777916575801</v>
      </c>
      <c r="G31">
        <v>-0.53126320219065437</v>
      </c>
      <c r="H31">
        <v>0.1095712835731994</v>
      </c>
      <c r="I31">
        <v>0.1094077057591349</v>
      </c>
      <c r="J31">
        <v>0.24890808637373779</v>
      </c>
    </row>
    <row r="32" spans="1:10" x14ac:dyDescent="0.25">
      <c r="A32">
        <v>-0.19141464532291361</v>
      </c>
      <c r="B32">
        <v>3.6836498211927998E-2</v>
      </c>
      <c r="C32">
        <v>6.2193376671297922E-2</v>
      </c>
      <c r="D32">
        <v>0.1823066104027054</v>
      </c>
      <c r="E32">
        <v>-0.20636726522371671</v>
      </c>
      <c r="F32">
        <v>5.9596063534793603E-2</v>
      </c>
      <c r="G32">
        <v>-0.78721373761918789</v>
      </c>
      <c r="H32">
        <v>-3.3841109207383743E-2</v>
      </c>
      <c r="I32">
        <v>0.18586804250405189</v>
      </c>
      <c r="J32">
        <v>8.7916141642827156E-2</v>
      </c>
    </row>
    <row r="33" spans="1:10" x14ac:dyDescent="0.25">
      <c r="A33">
        <v>0.39044823556505148</v>
      </c>
      <c r="B33">
        <v>-0.1743548922845595</v>
      </c>
      <c r="C33">
        <v>-0.26881165169590471</v>
      </c>
      <c r="D33">
        <v>0.19580377383131339</v>
      </c>
      <c r="E33">
        <v>3.640415333929866E-2</v>
      </c>
      <c r="F33">
        <v>0.21825051552928901</v>
      </c>
      <c r="G33">
        <v>-9.6917882195513366E-2</v>
      </c>
      <c r="H33">
        <v>-0.15554688619541901</v>
      </c>
      <c r="I33">
        <v>-6.4464137617903261E-2</v>
      </c>
      <c r="J33">
        <v>0.3189537514142608</v>
      </c>
    </row>
    <row r="34" spans="1:10" x14ac:dyDescent="0.25">
      <c r="A34">
        <v>0.25758926461543807</v>
      </c>
      <c r="B34">
        <v>-0.12747390592021191</v>
      </c>
      <c r="C34">
        <v>8.3319130266000255E-2</v>
      </c>
      <c r="D34">
        <v>0.65027944814961047</v>
      </c>
      <c r="E34">
        <v>-7.7801348156116668E-2</v>
      </c>
      <c r="F34">
        <v>0.117514220974788</v>
      </c>
      <c r="G34">
        <v>-0.25652023461160112</v>
      </c>
      <c r="H34">
        <v>-0.3436626751791097</v>
      </c>
      <c r="I34">
        <v>-0.15353696573853509</v>
      </c>
      <c r="J34">
        <v>-0.16983410185372511</v>
      </c>
    </row>
    <row r="35" spans="1:10" x14ac:dyDescent="0.25">
      <c r="A35">
        <v>-0.42132807991592802</v>
      </c>
      <c r="B35">
        <v>1.395086250705023E-2</v>
      </c>
      <c r="C35">
        <v>0.12717192812134381</v>
      </c>
      <c r="D35">
        <v>-0.23969039293713981</v>
      </c>
      <c r="E35">
        <v>3.3959163986545479E-3</v>
      </c>
      <c r="F35">
        <v>-0.15175270498502169</v>
      </c>
      <c r="G35">
        <v>-0.2940355041125966</v>
      </c>
      <c r="H35">
        <v>0.39274387593307297</v>
      </c>
      <c r="I35">
        <v>7.4899852775651143E-2</v>
      </c>
      <c r="J35">
        <v>-0.31422580301197872</v>
      </c>
    </row>
    <row r="36" spans="1:10" x14ac:dyDescent="0.25">
      <c r="A36">
        <v>0.36469906660990081</v>
      </c>
      <c r="B36">
        <v>0.11594407006143689</v>
      </c>
      <c r="C36">
        <v>-0.2662423502078945</v>
      </c>
      <c r="D36">
        <v>-0.12078570881394381</v>
      </c>
      <c r="E36">
        <v>3.4475372531125909E-3</v>
      </c>
      <c r="F36">
        <v>-0.35642963555405388</v>
      </c>
      <c r="G36">
        <v>0.18563841633886571</v>
      </c>
      <c r="H36">
        <v>-0.17026701058112181</v>
      </c>
      <c r="I36">
        <v>-6.4434290744752903E-2</v>
      </c>
      <c r="J36">
        <v>-0.25551677841306752</v>
      </c>
    </row>
    <row r="37" spans="1:10" x14ac:dyDescent="0.25">
      <c r="A37">
        <v>-0.2102670549058557</v>
      </c>
      <c r="B37">
        <v>0.16868774052547661</v>
      </c>
      <c r="C37">
        <v>0.16188502909804431</v>
      </c>
      <c r="D37">
        <v>-0.1321059668154371</v>
      </c>
      <c r="E37">
        <v>5.610111500713192E-2</v>
      </c>
      <c r="F37">
        <v>-5.9277362865549008E-2</v>
      </c>
      <c r="G37">
        <v>-0.32657777049621922</v>
      </c>
      <c r="H37">
        <v>-0.1561241020124477</v>
      </c>
      <c r="I37">
        <v>0.14677016624150169</v>
      </c>
      <c r="J37">
        <v>-0.85571853784952623</v>
      </c>
    </row>
    <row r="38" spans="1:10" x14ac:dyDescent="0.25">
      <c r="A38">
        <v>0.3010897920452571</v>
      </c>
      <c r="B38">
        <v>9.3171315665722343E-2</v>
      </c>
      <c r="C38">
        <v>-0.17511718091854239</v>
      </c>
      <c r="D38">
        <v>-1.0079218565053401</v>
      </c>
      <c r="E38">
        <v>6.5727663150791593E-2</v>
      </c>
      <c r="F38">
        <v>-0.1247253317082636</v>
      </c>
      <c r="G38">
        <v>0.14579170765995361</v>
      </c>
      <c r="H38">
        <v>0.15431767030267909</v>
      </c>
      <c r="I38">
        <v>0.1222529294931019</v>
      </c>
      <c r="J38">
        <v>-0.79005348533062969</v>
      </c>
    </row>
    <row r="39" spans="1:10" x14ac:dyDescent="0.25">
      <c r="A39">
        <v>2.023009954314332E-2</v>
      </c>
      <c r="B39">
        <v>0.32112248048736441</v>
      </c>
      <c r="C39">
        <v>-1.172856665587543E-2</v>
      </c>
      <c r="D39">
        <v>-0.13284993107175</v>
      </c>
      <c r="E39">
        <v>5.5736760347789349E-2</v>
      </c>
      <c r="F39">
        <v>-0.1379347061014625</v>
      </c>
      <c r="G39">
        <v>-2.3154603713342641E-2</v>
      </c>
      <c r="H39">
        <v>-0.30885934104499968</v>
      </c>
      <c r="I39">
        <v>-0.15842571082564821</v>
      </c>
      <c r="J39">
        <v>0.22190414340222039</v>
      </c>
    </row>
    <row r="40" spans="1:10" x14ac:dyDescent="0.25">
      <c r="A40">
        <v>0.19637854624511031</v>
      </c>
      <c r="B40">
        <v>-0.31561277074273442</v>
      </c>
      <c r="C40">
        <v>-0.168908067841091</v>
      </c>
      <c r="D40">
        <v>-0.65242589714706101</v>
      </c>
      <c r="E40">
        <v>-1.6408106010992251E-2</v>
      </c>
      <c r="F40">
        <v>0.23729617906434319</v>
      </c>
      <c r="G40">
        <v>-9.245436862400061E-2</v>
      </c>
      <c r="H40">
        <v>-0.1945636247056641</v>
      </c>
      <c r="I40">
        <v>0.16662731097801939</v>
      </c>
      <c r="J40">
        <v>9.5848143233231708E-2</v>
      </c>
    </row>
    <row r="41" spans="1:10" x14ac:dyDescent="0.25">
      <c r="A41">
        <v>0.1079305781666339</v>
      </c>
      <c r="B41">
        <v>-0.38918727843388629</v>
      </c>
      <c r="C41">
        <v>-0.2582642035499742</v>
      </c>
      <c r="D41">
        <v>-0.1473938050075809</v>
      </c>
      <c r="E41">
        <v>0.11695369790600239</v>
      </c>
      <c r="F41">
        <v>0.1079227613197075</v>
      </c>
      <c r="G41">
        <v>0.1645760404033047</v>
      </c>
      <c r="H41">
        <v>0.24619003281487131</v>
      </c>
      <c r="I41">
        <v>-0.16815094801023739</v>
      </c>
      <c r="J41">
        <v>-1.9481130769495852E-2</v>
      </c>
    </row>
    <row r="42" spans="1:10" x14ac:dyDescent="0.25">
      <c r="A42">
        <v>-0.66669644894109248</v>
      </c>
      <c r="B42">
        <v>0.28265187110296952</v>
      </c>
      <c r="C42">
        <v>-8.6339921141433212E-2</v>
      </c>
      <c r="D42">
        <v>-9.7717967758877741E-2</v>
      </c>
      <c r="E42">
        <v>0.21023378401680001</v>
      </c>
      <c r="F42">
        <v>5.0291396233030493E-2</v>
      </c>
      <c r="G42">
        <v>0.1650664635436179</v>
      </c>
      <c r="H42">
        <v>0.28114496094633268</v>
      </c>
      <c r="I42">
        <v>3.6728871233800087E-2</v>
      </c>
      <c r="J42">
        <v>-0.18790356242815121</v>
      </c>
    </row>
    <row r="43" spans="1:10" x14ac:dyDescent="0.25">
      <c r="A43">
        <v>-0.1625071281859323</v>
      </c>
      <c r="B43">
        <v>0.1637131236516928</v>
      </c>
      <c r="C43">
        <v>2.3878173336721101E-2</v>
      </c>
      <c r="D43">
        <v>-9.8280806297342219E-2</v>
      </c>
      <c r="E43">
        <v>-0.2004198026303329</v>
      </c>
      <c r="F43">
        <v>5.1659438996286867E-2</v>
      </c>
      <c r="G43">
        <v>-0.60889405467959912</v>
      </c>
      <c r="H43">
        <v>-0.45009248744973712</v>
      </c>
      <c r="I43">
        <v>-2.3948457191881069E-2</v>
      </c>
      <c r="J43">
        <v>-0.1792812473961915</v>
      </c>
    </row>
    <row r="44" spans="1:10" x14ac:dyDescent="0.25">
      <c r="A44">
        <v>-0.79845839864566215</v>
      </c>
      <c r="B44">
        <v>-4.450073535277365E-2</v>
      </c>
      <c r="C44">
        <v>-0.42265321288744062</v>
      </c>
      <c r="D44">
        <v>-0.42757061116320588</v>
      </c>
      <c r="E44">
        <v>-3.2262890164432047E-2</v>
      </c>
      <c r="F44">
        <v>-8.2042502853075572E-2</v>
      </c>
      <c r="G44">
        <v>0.1397784726321698</v>
      </c>
      <c r="H44">
        <v>0.22171713944675539</v>
      </c>
      <c r="I44">
        <v>-6.4664410537104589E-2</v>
      </c>
      <c r="J44">
        <v>-0.28080561328807241</v>
      </c>
    </row>
    <row r="45" spans="1:10" x14ac:dyDescent="0.25">
      <c r="A45">
        <v>-0.4948015611250437</v>
      </c>
      <c r="B45">
        <v>3.7645372353406481E-2</v>
      </c>
      <c r="C45">
        <v>0.1258948641797015</v>
      </c>
      <c r="D45">
        <v>-0.72172706773110129</v>
      </c>
      <c r="E45">
        <v>1.8554112236458871E-2</v>
      </c>
      <c r="F45">
        <v>-9.5071065346758993E-2</v>
      </c>
      <c r="G45">
        <v>-0.16165149205170509</v>
      </c>
      <c r="H45">
        <v>0.27979724431103659</v>
      </c>
      <c r="I45">
        <v>-1.7413050443629261E-2</v>
      </c>
      <c r="J45">
        <v>-6.7635452050328004E-2</v>
      </c>
    </row>
    <row r="46" spans="1:10" x14ac:dyDescent="0.25">
      <c r="A46">
        <v>-1.7420590302687541E-2</v>
      </c>
      <c r="B46">
        <v>-0.54568096064596061</v>
      </c>
      <c r="C46">
        <v>-3.2665533364623169E-2</v>
      </c>
      <c r="D46">
        <v>0.13597059107391241</v>
      </c>
      <c r="E46">
        <v>7.5552537619424556E-2</v>
      </c>
      <c r="F46">
        <v>0.14600687526529599</v>
      </c>
      <c r="G46">
        <v>6.9592219565705646E-2</v>
      </c>
      <c r="H46">
        <v>0.1051316494196174</v>
      </c>
      <c r="I46">
        <v>0.3066245178931517</v>
      </c>
      <c r="J46">
        <v>-4.0071053964253513E-2</v>
      </c>
    </row>
    <row r="47" spans="1:10" x14ac:dyDescent="0.25">
      <c r="A47">
        <v>1.8034370866201101E-2</v>
      </c>
      <c r="B47">
        <v>-0.21310563500788121</v>
      </c>
      <c r="C47">
        <v>7.7632739624074187E-2</v>
      </c>
      <c r="D47">
        <v>0.14309108074083851</v>
      </c>
      <c r="E47">
        <v>5.0042868737478416E-3</v>
      </c>
      <c r="F47">
        <v>0.1467890780073666</v>
      </c>
      <c r="G47">
        <v>0.13428262949671571</v>
      </c>
      <c r="H47">
        <v>-0.36850421902497033</v>
      </c>
      <c r="I47">
        <v>2.7860024870560069E-2</v>
      </c>
      <c r="J47">
        <v>-5.8326110808222219E-2</v>
      </c>
    </row>
    <row r="48" spans="1:10" x14ac:dyDescent="0.25">
      <c r="A48">
        <v>0.29301568530682492</v>
      </c>
      <c r="B48">
        <v>2.903746842425051E-2</v>
      </c>
      <c r="C48">
        <v>-9.7238935586612646E-2</v>
      </c>
      <c r="D48">
        <v>-0.67483113267985617</v>
      </c>
      <c r="E48">
        <v>0.15057735209372539</v>
      </c>
      <c r="F48">
        <v>-3.073166822568409E-2</v>
      </c>
      <c r="G48">
        <v>-0.71252279556989195</v>
      </c>
      <c r="H48">
        <v>4.6156080873595781E-3</v>
      </c>
      <c r="I48">
        <v>0.1571365626323791</v>
      </c>
      <c r="J48">
        <v>-0.1827912823929998</v>
      </c>
    </row>
    <row r="49" spans="1:10" x14ac:dyDescent="0.25">
      <c r="A49">
        <v>0.42880729642991688</v>
      </c>
      <c r="B49">
        <v>0.22622001676247719</v>
      </c>
      <c r="C49">
        <v>6.530381216242985E-2</v>
      </c>
      <c r="D49">
        <v>8.1555979031579115E-2</v>
      </c>
      <c r="E49">
        <v>0.11796133623607991</v>
      </c>
      <c r="F49">
        <v>-0.38354509544410159</v>
      </c>
      <c r="G49">
        <v>-1.3679575121916689</v>
      </c>
      <c r="H49">
        <v>2.637078593399703E-2</v>
      </c>
      <c r="I49">
        <v>0.1124178548933828</v>
      </c>
      <c r="J49">
        <v>0.1988459405562791</v>
      </c>
    </row>
    <row r="50" spans="1:10" x14ac:dyDescent="0.25">
      <c r="A50">
        <v>0.27798613096459929</v>
      </c>
      <c r="B50">
        <v>-0.1876915102815378</v>
      </c>
      <c r="C50">
        <v>-0.10637168087818979</v>
      </c>
      <c r="D50">
        <v>8.2511845407090695E-2</v>
      </c>
      <c r="E50">
        <v>-0.17340184561086491</v>
      </c>
      <c r="F50">
        <v>-0.47857272221021241</v>
      </c>
      <c r="G50">
        <v>0.44129798316469909</v>
      </c>
      <c r="H50">
        <v>-0.2125335102832093</v>
      </c>
      <c r="I50">
        <v>-4.0487138299909603E-3</v>
      </c>
      <c r="J50">
        <v>0.33036621688198792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244</v>
      </c>
    </row>
    <row r="2" spans="1:1" x14ac:dyDescent="0.25">
      <c r="A2">
        <v>0.26770296646852382</v>
      </c>
    </row>
    <row r="3" spans="1:1" x14ac:dyDescent="0.25">
      <c r="A3">
        <v>0.15689486326939561</v>
      </c>
    </row>
    <row r="4" spans="1:1" x14ac:dyDescent="0.25">
      <c r="A4">
        <v>0.65995815021582038</v>
      </c>
    </row>
    <row r="5" spans="1:1" x14ac:dyDescent="0.25">
      <c r="A5">
        <v>-0.27406830904976531</v>
      </c>
    </row>
    <row r="6" spans="1:1" x14ac:dyDescent="0.25">
      <c r="A6">
        <v>-0.49249128436581352</v>
      </c>
    </row>
    <row r="7" spans="1:1" x14ac:dyDescent="0.25">
      <c r="A7">
        <v>-0.21211017675563809</v>
      </c>
    </row>
    <row r="8" spans="1:1" x14ac:dyDescent="0.25">
      <c r="A8">
        <v>0.69213197617088096</v>
      </c>
    </row>
    <row r="9" spans="1:1" x14ac:dyDescent="0.25">
      <c r="A9">
        <v>0.58252725183084653</v>
      </c>
    </row>
    <row r="10" spans="1:1" x14ac:dyDescent="0.25">
      <c r="A10">
        <v>0.13241167871844789</v>
      </c>
    </row>
    <row r="11" spans="1:1" x14ac:dyDescent="0.25">
      <c r="A11">
        <v>0.41426968174894951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245</v>
      </c>
      <c r="B1" s="1" t="s">
        <v>246</v>
      </c>
    </row>
    <row r="2" spans="1:2" x14ac:dyDescent="0.25">
      <c r="A2">
        <v>0</v>
      </c>
      <c r="B2" t="s">
        <v>247</v>
      </c>
    </row>
    <row r="3" spans="1:2" x14ac:dyDescent="0.25">
      <c r="A3">
        <v>1</v>
      </c>
      <c r="B3" t="s">
        <v>248</v>
      </c>
    </row>
    <row r="4" spans="1:2" x14ac:dyDescent="0.25">
      <c r="A4">
        <v>2</v>
      </c>
      <c r="B4" t="s">
        <v>249</v>
      </c>
    </row>
    <row r="5" spans="1:2" x14ac:dyDescent="0.25">
      <c r="A5">
        <v>3</v>
      </c>
      <c r="B5" t="s">
        <v>250</v>
      </c>
    </row>
    <row r="6" spans="1:2" x14ac:dyDescent="0.25">
      <c r="A6">
        <v>4</v>
      </c>
      <c r="B6" t="s">
        <v>251</v>
      </c>
    </row>
    <row r="7" spans="1:2" x14ac:dyDescent="0.25">
      <c r="A7">
        <v>5</v>
      </c>
      <c r="B7" t="s">
        <v>252</v>
      </c>
    </row>
    <row r="8" spans="1:2" x14ac:dyDescent="0.25">
      <c r="A8">
        <v>6</v>
      </c>
      <c r="B8" t="s">
        <v>253</v>
      </c>
    </row>
    <row r="9" spans="1:2" x14ac:dyDescent="0.25">
      <c r="A9">
        <v>7</v>
      </c>
      <c r="B9" t="s">
        <v>254</v>
      </c>
    </row>
    <row r="10" spans="1:2" x14ac:dyDescent="0.25">
      <c r="A10">
        <v>8</v>
      </c>
      <c r="B10" t="s">
        <v>255</v>
      </c>
    </row>
    <row r="11" spans="1:2" x14ac:dyDescent="0.25">
      <c r="A11">
        <v>9</v>
      </c>
      <c r="B11" t="s">
        <v>256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2316FD-5108-40BD-A2A9-CBAE8839FA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Referencia_Python</vt:lpstr>
      <vt:lpstr>1_Estandarizacion</vt:lpstr>
      <vt:lpstr>2_Capa1</vt:lpstr>
      <vt:lpstr>3_Salida</vt:lpstr>
      <vt:lpstr>0_Entrada</vt:lpstr>
      <vt:lpstr>Scaler</vt:lpstr>
      <vt:lpstr>Capa1_Pesos</vt:lpstr>
      <vt:lpstr>Capa1_Sesgos</vt:lpstr>
      <vt:lpstr>Capa2_Pesos</vt:lpstr>
      <vt:lpstr>Capa2_Sesgos</vt:lpstr>
      <vt:lpstr>Clases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Jefferson Gramal</cp:lastModifiedBy>
  <dcterms:created xsi:type="dcterms:W3CDTF">2026-09-18T05:28:13Z</dcterms:created>
  <dcterms:modified xsi:type="dcterms:W3CDTF">2026-09-18T06:50:31Z</dcterms:modified>
</cp:coreProperties>
</file>